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C:\ロボカップ\運営\千葉ノード\2019\"/>
    </mc:Choice>
  </mc:AlternateContent>
  <xr:revisionPtr revIDLastSave="0" documentId="13_ncr:1_{CF59C0CF-8492-4674-9F8E-0CA61A701E45}" xr6:coauthVersionLast="38" xr6:coauthVersionMax="38" xr10:uidLastSave="{00000000-0000-0000-0000-000000000000}"/>
  <bookViews>
    <workbookView xWindow="32760" yWindow="32760" windowWidth="24000" windowHeight="9420" tabRatio="624" activeTab="7" xr2:uid="{00000000-000D-0000-FFFF-FFFF00000000}"/>
  </bookViews>
  <sheets>
    <sheet name="チーム一覧" sheetId="1" r:id="rId1"/>
    <sheet name="競技順番" sheetId="19" r:id="rId2"/>
    <sheet name="新記録用紙NL" sheetId="36" r:id="rId3"/>
    <sheet name="新記録用紙WL" sheetId="35" r:id="rId4"/>
    <sheet name="車検一覧" sheetId="13" r:id="rId5"/>
    <sheet name="車検シート" sheetId="14" r:id="rId6"/>
    <sheet name="競技記録A" sheetId="21" r:id="rId7"/>
    <sheet name="集計" sheetId="23" r:id="rId8"/>
  </sheets>
  <definedNames>
    <definedName name="_xlnm.Print_Area" localSheetId="0">チーム一覧!$B$1:$F$11</definedName>
    <definedName name="_xlnm.Print_Area" localSheetId="1">競技順番!$A$1:$I$25</definedName>
    <definedName name="_xlnm.Print_Area" localSheetId="7">集計!$B$1:$R$10</definedName>
    <definedName name="_xlnm.Print_Area" localSheetId="2">新記録用紙NL!$A$1:$AC$20</definedName>
    <definedName name="_xlnm.Print_Area" localSheetId="3">新記録用紙WL!$A$1:$AC$20</definedName>
  </definedNames>
  <calcPr calcId="162913"/>
</workbook>
</file>

<file path=xl/calcChain.xml><?xml version="1.0" encoding="utf-8"?>
<calcChain xmlns="http://schemas.openxmlformats.org/spreadsheetml/2006/main">
  <c r="E5" i="23" l="1"/>
  <c r="D5" i="23"/>
  <c r="B20" i="19" l="1"/>
  <c r="B21" i="19" s="1"/>
  <c r="B22" i="19" s="1"/>
  <c r="B23" i="19" s="1"/>
  <c r="B24" i="19" s="1"/>
  <c r="B25" i="19" s="1"/>
  <c r="B26" i="19" s="1"/>
  <c r="B9" i="19"/>
  <c r="B10" i="19" s="1"/>
  <c r="B11" i="19" s="1"/>
  <c r="B12" i="19" s="1"/>
  <c r="B13" i="19" s="1"/>
  <c r="B14" i="19" s="1"/>
  <c r="B8" i="19"/>
  <c r="F14" i="19" l="1"/>
  <c r="F13" i="19"/>
  <c r="F12" i="19"/>
  <c r="F11" i="19"/>
  <c r="F10" i="19"/>
  <c r="F9" i="19"/>
  <c r="F8" i="19"/>
  <c r="F7" i="19"/>
  <c r="E14" i="19"/>
  <c r="E13" i="19"/>
  <c r="E12" i="19"/>
  <c r="E11" i="19"/>
  <c r="E10" i="19"/>
  <c r="E9" i="19"/>
  <c r="E8" i="19"/>
  <c r="E7" i="19"/>
  <c r="R20" i="35"/>
  <c r="R19" i="35"/>
  <c r="R18" i="35"/>
  <c r="R17" i="35"/>
  <c r="R16" i="35"/>
  <c r="R15" i="35"/>
  <c r="R14" i="35"/>
  <c r="R13" i="35"/>
  <c r="R12" i="35"/>
  <c r="R11" i="35"/>
  <c r="R10" i="35"/>
  <c r="R9" i="35"/>
  <c r="R8" i="35"/>
  <c r="R7" i="35"/>
  <c r="R6" i="35"/>
  <c r="T9" i="35"/>
  <c r="T8" i="35"/>
  <c r="T7" i="35"/>
  <c r="T9" i="36"/>
  <c r="T8" i="36"/>
  <c r="T7" i="36"/>
  <c r="R20" i="36"/>
  <c r="R19" i="36"/>
  <c r="R18" i="36"/>
  <c r="R17" i="36"/>
  <c r="R16" i="36"/>
  <c r="R15" i="36"/>
  <c r="R14" i="36"/>
  <c r="R13" i="36"/>
  <c r="R12" i="36"/>
  <c r="R11" i="36"/>
  <c r="R10" i="36"/>
  <c r="R9" i="36"/>
  <c r="R8" i="36"/>
  <c r="R7" i="36"/>
  <c r="R6" i="36"/>
  <c r="K11" i="23"/>
  <c r="G11" i="23"/>
  <c r="K10" i="23"/>
  <c r="J10" i="23"/>
  <c r="G10" i="23"/>
  <c r="M9" i="23"/>
  <c r="K9" i="23"/>
  <c r="G9" i="23"/>
  <c r="O9" i="23" s="1"/>
  <c r="K8" i="23"/>
  <c r="G8" i="23"/>
  <c r="O8" i="23" s="1"/>
  <c r="M7" i="23"/>
  <c r="L7" i="23"/>
  <c r="K7" i="23"/>
  <c r="G7" i="23"/>
  <c r="O7" i="23" s="1"/>
  <c r="K6" i="23"/>
  <c r="J6" i="23"/>
  <c r="G6" i="23"/>
  <c r="M5" i="23"/>
  <c r="K5" i="23"/>
  <c r="G5" i="23"/>
  <c r="O5" i="23" s="1"/>
  <c r="K4" i="23"/>
  <c r="G4" i="23"/>
  <c r="B21" i="21"/>
  <c r="B20" i="21"/>
  <c r="B19" i="21"/>
  <c r="Q27" i="21"/>
  <c r="M11" i="23" s="1"/>
  <c r="P27" i="21"/>
  <c r="L11" i="23" s="1"/>
  <c r="N27" i="21"/>
  <c r="J11" i="23" s="1"/>
  <c r="Q26" i="21"/>
  <c r="M10" i="23" s="1"/>
  <c r="P26" i="21"/>
  <c r="L10" i="23" s="1"/>
  <c r="N26" i="21"/>
  <c r="Q25" i="21"/>
  <c r="P25" i="21"/>
  <c r="L9" i="23" s="1"/>
  <c r="N25" i="21"/>
  <c r="J9" i="23" s="1"/>
  <c r="Q24" i="21"/>
  <c r="M8" i="23" s="1"/>
  <c r="P24" i="21"/>
  <c r="L8" i="23" s="1"/>
  <c r="N24" i="21"/>
  <c r="J8" i="23" s="1"/>
  <c r="Q23" i="21"/>
  <c r="P23" i="21"/>
  <c r="N23" i="21"/>
  <c r="J7" i="23" s="1"/>
  <c r="Q22" i="21"/>
  <c r="M6" i="23" s="1"/>
  <c r="P22" i="21"/>
  <c r="L6" i="23" s="1"/>
  <c r="N22" i="21"/>
  <c r="Q21" i="21"/>
  <c r="P21" i="21"/>
  <c r="L5" i="23" s="1"/>
  <c r="N21" i="21"/>
  <c r="J5" i="23" s="1"/>
  <c r="Q20" i="21"/>
  <c r="M4" i="23" s="1"/>
  <c r="P20" i="21"/>
  <c r="L4" i="23" s="1"/>
  <c r="N20" i="21"/>
  <c r="J4" i="23" s="1"/>
  <c r="N13" i="21"/>
  <c r="F11" i="23" s="1"/>
  <c r="N12" i="21"/>
  <c r="F10" i="23" s="1"/>
  <c r="N11" i="21"/>
  <c r="F9" i="23" s="1"/>
  <c r="N10" i="21"/>
  <c r="F8" i="23" s="1"/>
  <c r="N9" i="21"/>
  <c r="F7" i="23" s="1"/>
  <c r="N8" i="21"/>
  <c r="F6" i="23" s="1"/>
  <c r="N7" i="21"/>
  <c r="F5" i="23" s="1"/>
  <c r="N6" i="21"/>
  <c r="F4" i="23" s="1"/>
  <c r="Q13" i="21"/>
  <c r="I11" i="23" s="1"/>
  <c r="Q12" i="21"/>
  <c r="I10" i="23" s="1"/>
  <c r="Q11" i="21"/>
  <c r="I9" i="23" s="1"/>
  <c r="Q10" i="21"/>
  <c r="I8" i="23" s="1"/>
  <c r="Q9" i="21"/>
  <c r="I7" i="23" s="1"/>
  <c r="Q8" i="21"/>
  <c r="I6" i="23" s="1"/>
  <c r="Q7" i="21"/>
  <c r="I5" i="23" s="1"/>
  <c r="Q6" i="21"/>
  <c r="I4" i="23" s="1"/>
  <c r="P13" i="21"/>
  <c r="H11" i="23" s="1"/>
  <c r="P12" i="21"/>
  <c r="H10" i="23" s="1"/>
  <c r="P11" i="21"/>
  <c r="H9" i="23" s="1"/>
  <c r="P10" i="21"/>
  <c r="H8" i="23" s="1"/>
  <c r="P9" i="21"/>
  <c r="H7" i="23" s="1"/>
  <c r="P8" i="21"/>
  <c r="H6" i="23" s="1"/>
  <c r="P7" i="21"/>
  <c r="H5" i="23" s="1"/>
  <c r="P6" i="21"/>
  <c r="H4" i="23" s="1"/>
  <c r="AB2" i="35"/>
  <c r="AB2" i="36"/>
  <c r="O10" i="23" l="1"/>
  <c r="P10" i="23"/>
  <c r="N10" i="23"/>
  <c r="P9" i="23"/>
  <c r="N9" i="23"/>
  <c r="P8" i="23"/>
  <c r="N8" i="23"/>
  <c r="P7" i="23"/>
  <c r="N7" i="23"/>
  <c r="O6" i="23"/>
  <c r="P6" i="23"/>
  <c r="N6" i="23"/>
  <c r="P5" i="23"/>
  <c r="N5" i="23"/>
  <c r="O11" i="23"/>
  <c r="P11" i="23"/>
  <c r="O4" i="23"/>
  <c r="P4" i="23"/>
  <c r="N4" i="23"/>
  <c r="N11" i="23"/>
  <c r="A2" i="36"/>
  <c r="Z13" i="36"/>
  <c r="AB13" i="36" s="1"/>
  <c r="Z12" i="36"/>
  <c r="AB12" i="36" s="1"/>
  <c r="Z11" i="36"/>
  <c r="AB11" i="36" s="1"/>
  <c r="AB9" i="36"/>
  <c r="AB8" i="36"/>
  <c r="AB7" i="36"/>
  <c r="AB6" i="36"/>
  <c r="O2" i="36"/>
  <c r="O1" i="36"/>
  <c r="W2" i="36" l="1"/>
  <c r="Z13" i="35"/>
  <c r="AB13" i="35" s="1"/>
  <c r="Z12" i="35"/>
  <c r="AB12" i="35" s="1"/>
  <c r="Z11" i="35"/>
  <c r="AB11" i="35" s="1"/>
  <c r="AB9" i="35"/>
  <c r="AB8" i="35"/>
  <c r="AB7" i="35"/>
  <c r="AB6" i="35"/>
  <c r="A2" i="35"/>
  <c r="W2" i="35" l="1"/>
  <c r="B22" i="21"/>
  <c r="B23" i="21"/>
  <c r="J2" i="36"/>
  <c r="D7" i="19"/>
  <c r="J1" i="35" s="1"/>
  <c r="D8" i="19"/>
  <c r="J1" i="36" s="1"/>
  <c r="D9" i="19"/>
  <c r="D10" i="19"/>
  <c r="C9" i="21"/>
  <c r="D11" i="19"/>
  <c r="C10" i="21" s="1"/>
  <c r="D12" i="19"/>
  <c r="C11" i="21"/>
  <c r="D13" i="19"/>
  <c r="C12" i="21"/>
  <c r="D14" i="19"/>
  <c r="C13" i="21"/>
  <c r="D19" i="19"/>
  <c r="C20" i="21" s="1"/>
  <c r="E19" i="19"/>
  <c r="D20" i="21" s="1"/>
  <c r="F19" i="19"/>
  <c r="D20" i="19"/>
  <c r="C21" i="21" s="1"/>
  <c r="E20" i="19"/>
  <c r="D21" i="21" s="1"/>
  <c r="F20" i="19"/>
  <c r="D21" i="19"/>
  <c r="C22" i="21" s="1"/>
  <c r="E21" i="19"/>
  <c r="D22" i="21" s="1"/>
  <c r="F21" i="19"/>
  <c r="D22" i="19"/>
  <c r="C23" i="21" s="1"/>
  <c r="E22" i="19"/>
  <c r="D23" i="21" s="1"/>
  <c r="F22" i="19"/>
  <c r="D23" i="19"/>
  <c r="C24" i="21" s="1"/>
  <c r="E23" i="19"/>
  <c r="D24" i="21" s="1"/>
  <c r="F23" i="19"/>
  <c r="D24" i="19"/>
  <c r="C25" i="21" s="1"/>
  <c r="E24" i="19"/>
  <c r="D25" i="21" s="1"/>
  <c r="F24" i="19"/>
  <c r="D25" i="19"/>
  <c r="C26" i="21" s="1"/>
  <c r="E25" i="19"/>
  <c r="D26" i="21" s="1"/>
  <c r="F25" i="19"/>
  <c r="D26" i="19"/>
  <c r="C27" i="21" s="1"/>
  <c r="E26" i="19"/>
  <c r="F26" i="19"/>
  <c r="O2" i="35" s="1"/>
  <c r="D6" i="21"/>
  <c r="D7" i="21"/>
  <c r="C8" i="21"/>
  <c r="D8" i="21"/>
  <c r="D9" i="21"/>
  <c r="D10" i="21"/>
  <c r="D11" i="21"/>
  <c r="D12" i="21"/>
  <c r="D13" i="21"/>
  <c r="E11" i="23"/>
  <c r="D11" i="23"/>
  <c r="C11" i="23"/>
  <c r="B11" i="23"/>
  <c r="B12" i="13"/>
  <c r="A12" i="13"/>
  <c r="E10" i="23"/>
  <c r="D10" i="23"/>
  <c r="C10" i="23"/>
  <c r="B10" i="23"/>
  <c r="E9" i="23"/>
  <c r="D9" i="23"/>
  <c r="C9" i="23"/>
  <c r="B9" i="23"/>
  <c r="E8" i="23"/>
  <c r="D8" i="23"/>
  <c r="C8" i="23"/>
  <c r="B8" i="23"/>
  <c r="E7" i="23"/>
  <c r="D7" i="23"/>
  <c r="C7" i="23"/>
  <c r="B7" i="23"/>
  <c r="E6" i="23"/>
  <c r="D6" i="23"/>
  <c r="C6" i="23"/>
  <c r="B6" i="23"/>
  <c r="E3" i="23"/>
  <c r="E4" i="23"/>
  <c r="C5" i="23"/>
  <c r="B5" i="23"/>
  <c r="D4" i="23"/>
  <c r="C4" i="23"/>
  <c r="D3" i="23"/>
  <c r="B3" i="23"/>
  <c r="B4" i="23"/>
  <c r="B6" i="21"/>
  <c r="B5" i="21"/>
  <c r="A11" i="13"/>
  <c r="A10" i="13"/>
  <c r="A9" i="13"/>
  <c r="A8" i="13"/>
  <c r="A7" i="13"/>
  <c r="A6" i="13"/>
  <c r="A5" i="13"/>
  <c r="B10" i="13"/>
  <c r="B11" i="13"/>
  <c r="B6" i="13"/>
  <c r="B7" i="13"/>
  <c r="B8" i="13"/>
  <c r="B9" i="13"/>
  <c r="B5" i="13"/>
  <c r="C6" i="21" l="1"/>
  <c r="C7" i="21"/>
  <c r="B7" i="21"/>
  <c r="D27" i="21"/>
  <c r="O1" i="35"/>
  <c r="Q4" i="23"/>
  <c r="B24" i="21" l="1"/>
  <c r="B8" i="21"/>
  <c r="Q5" i="23"/>
  <c r="Q8" i="23"/>
  <c r="Q10" i="23"/>
  <c r="Q7" i="23"/>
  <c r="Q11" i="23"/>
  <c r="Q9" i="23"/>
  <c r="Q6" i="23"/>
  <c r="B25" i="21" l="1"/>
  <c r="B9" i="21"/>
  <c r="B26" i="21" l="1"/>
  <c r="B10" i="21"/>
  <c r="B27" i="21" l="1"/>
  <c r="J2" i="35"/>
  <c r="B11" i="21"/>
  <c r="B12" i="21" l="1"/>
  <c r="B13" i="21"/>
</calcChain>
</file>

<file path=xl/sharedStrings.xml><?xml version="1.0" encoding="utf-8"?>
<sst xmlns="http://schemas.openxmlformats.org/spreadsheetml/2006/main" count="315" uniqueCount="172">
  <si>
    <t>チーム名</t>
    <rPh sb="3" eb="4">
      <t>メイ</t>
    </rPh>
    <phoneticPr fontId="1"/>
  </si>
  <si>
    <t>得点</t>
    <rPh sb="0" eb="2">
      <t>トクテン</t>
    </rPh>
    <phoneticPr fontId="1"/>
  </si>
  <si>
    <t>競技進行停止</t>
    <rPh sb="0" eb="2">
      <t>キョウギ</t>
    </rPh>
    <rPh sb="2" eb="4">
      <t>シンコウ</t>
    </rPh>
    <rPh sb="4" eb="6">
      <t>テイシ</t>
    </rPh>
    <phoneticPr fontId="1"/>
  </si>
  <si>
    <t>障害物</t>
    <rPh sb="0" eb="3">
      <t>ショウガイブツ</t>
    </rPh>
    <phoneticPr fontId="1"/>
  </si>
  <si>
    <t>番号</t>
    <rPh sb="0" eb="2">
      <t>バンゴウ</t>
    </rPh>
    <phoneticPr fontId="1"/>
  </si>
  <si>
    <t xml:space="preserve"> </t>
    <phoneticPr fontId="1"/>
  </si>
  <si>
    <t>項目</t>
    <rPh sb="0" eb="2">
      <t>コウモク</t>
    </rPh>
    <phoneticPr fontId="1"/>
  </si>
  <si>
    <t>競技時間</t>
    <rPh sb="0" eb="2">
      <t>キョウギ</t>
    </rPh>
    <rPh sb="2" eb="4">
      <t>ジカン</t>
    </rPh>
    <phoneticPr fontId="1"/>
  </si>
  <si>
    <t>主審</t>
    <rPh sb="0" eb="2">
      <t>シュシン</t>
    </rPh>
    <phoneticPr fontId="1"/>
  </si>
  <si>
    <t>副審</t>
    <rPh sb="0" eb="2">
      <t>フクシン</t>
    </rPh>
    <phoneticPr fontId="1"/>
  </si>
  <si>
    <t>キャプテンサイン</t>
    <phoneticPr fontId="1"/>
  </si>
  <si>
    <t>印刷番号</t>
    <rPh sb="0" eb="2">
      <t>インサツ</t>
    </rPh>
    <rPh sb="2" eb="4">
      <t>バンゴウ</t>
    </rPh>
    <phoneticPr fontId="1"/>
  </si>
  <si>
    <t>印刷範囲</t>
    <rPh sb="0" eb="2">
      <t>インサツ</t>
    </rPh>
    <rPh sb="2" eb="4">
      <t>ハンイ</t>
    </rPh>
    <phoneticPr fontId="1"/>
  </si>
  <si>
    <t>最初</t>
    <rPh sb="0" eb="2">
      <t>サイショ</t>
    </rPh>
    <phoneticPr fontId="1"/>
  </si>
  <si>
    <t>最後</t>
    <rPh sb="0" eb="2">
      <t>サイゴ</t>
    </rPh>
    <phoneticPr fontId="1"/>
  </si>
  <si>
    <t>←ここはいじらないでください。改行などもNG.</t>
    <rPh sb="15" eb="17">
      <t>カイギョウ</t>
    </rPh>
    <phoneticPr fontId="1"/>
  </si>
  <si>
    <t>②印刷範囲を指定「最初：１、最後３２」など</t>
    <rPh sb="1" eb="3">
      <t>インサツ</t>
    </rPh>
    <rPh sb="3" eb="5">
      <t>ハンイ</t>
    </rPh>
    <rPh sb="6" eb="8">
      <t>シテイ</t>
    </rPh>
    <rPh sb="9" eb="11">
      <t>サイショ</t>
    </rPh>
    <rPh sb="14" eb="16">
      <t>サイゴ</t>
    </rPh>
    <phoneticPr fontId="1"/>
  </si>
  <si>
    <t>③「差し込み印刷」ボタンを押す</t>
    <rPh sb="2" eb="3">
      <t>サ</t>
    </rPh>
    <rPh sb="4" eb="5">
      <t>コ</t>
    </rPh>
    <rPh sb="6" eb="8">
      <t>インサツ</t>
    </rPh>
    <rPh sb="13" eb="14">
      <t>オ</t>
    </rPh>
    <phoneticPr fontId="1"/>
  </si>
  <si>
    <t>開始時刻</t>
    <rPh sb="0" eb="2">
      <t>カイシ</t>
    </rPh>
    <rPh sb="2" eb="4">
      <t>ジコク</t>
    </rPh>
    <phoneticPr fontId="1"/>
  </si>
  <si>
    <t>チーム名</t>
  </si>
  <si>
    <t>サイズ</t>
    <phoneticPr fontId="1"/>
  </si>
  <si>
    <t>合格</t>
    <rPh sb="0" eb="2">
      <t>ゴウカク</t>
    </rPh>
    <phoneticPr fontId="1"/>
  </si>
  <si>
    <t>再車検①</t>
    <rPh sb="0" eb="1">
      <t>サイ</t>
    </rPh>
    <rPh sb="1" eb="3">
      <t>シャケン</t>
    </rPh>
    <phoneticPr fontId="1"/>
  </si>
  <si>
    <t>再車検②</t>
    <rPh sb="0" eb="1">
      <t>サイ</t>
    </rPh>
    <rPh sb="1" eb="3">
      <t>シャケン</t>
    </rPh>
    <phoneticPr fontId="1"/>
  </si>
  <si>
    <t>再車検③</t>
    <rPh sb="0" eb="1">
      <t>サイ</t>
    </rPh>
    <rPh sb="1" eb="3">
      <t>シャケン</t>
    </rPh>
    <phoneticPr fontId="1"/>
  </si>
  <si>
    <t>再車検④</t>
    <rPh sb="0" eb="1">
      <t>サイ</t>
    </rPh>
    <rPh sb="1" eb="3">
      <t>シャケン</t>
    </rPh>
    <phoneticPr fontId="1"/>
  </si>
  <si>
    <t>再車検⑤</t>
    <rPh sb="0" eb="1">
      <t>サイ</t>
    </rPh>
    <rPh sb="1" eb="3">
      <t>シャケン</t>
    </rPh>
    <phoneticPr fontId="1"/>
  </si>
  <si>
    <t>再車検⑥</t>
    <rPh sb="0" eb="1">
      <t>サイ</t>
    </rPh>
    <rPh sb="1" eb="3">
      <t>シャケン</t>
    </rPh>
    <phoneticPr fontId="1"/>
  </si>
  <si>
    <t>再車検⑦</t>
    <rPh sb="0" eb="1">
      <t>サイ</t>
    </rPh>
    <rPh sb="1" eb="3">
      <t>シャケン</t>
    </rPh>
    <phoneticPr fontId="1"/>
  </si>
  <si>
    <t>合格ならば○</t>
    <rPh sb="0" eb="2">
      <t>ゴウカク</t>
    </rPh>
    <phoneticPr fontId="1"/>
  </si>
  <si>
    <t>すべて合格ならば、
担当者サイン</t>
    <rPh sb="3" eb="5">
      <t>ゴウカク</t>
    </rPh>
    <rPh sb="10" eb="13">
      <t>タントウシャ</t>
    </rPh>
    <phoneticPr fontId="1"/>
  </si>
  <si>
    <t>サイン</t>
    <phoneticPr fontId="1"/>
  </si>
  <si>
    <t>●車検を受ける前に「車検②」を記入し、車検のときにこの用紙を一緒に提出すること。</t>
    <rPh sb="1" eb="3">
      <t>シャケン</t>
    </rPh>
    <rPh sb="4" eb="5">
      <t>ウ</t>
    </rPh>
    <rPh sb="7" eb="8">
      <t>マエ</t>
    </rPh>
    <rPh sb="10" eb="12">
      <t>シャケン</t>
    </rPh>
    <rPh sb="15" eb="17">
      <t>キニュウ</t>
    </rPh>
    <rPh sb="19" eb="21">
      <t>シャケン</t>
    </rPh>
    <rPh sb="27" eb="29">
      <t>ヨウシ</t>
    </rPh>
    <rPh sb="30" eb="32">
      <t>イッショ</t>
    </rPh>
    <rPh sb="33" eb="35">
      <t>テイシュツ</t>
    </rPh>
    <phoneticPr fontId="1"/>
  </si>
  <si>
    <t>●車検で合格していないロボットは、競技に参加できないので、必ず競技時間までに合格すること。</t>
    <rPh sb="1" eb="3">
      <t>シャケン</t>
    </rPh>
    <rPh sb="4" eb="6">
      <t>ゴウカク</t>
    </rPh>
    <rPh sb="17" eb="19">
      <t>キョウギ</t>
    </rPh>
    <rPh sb="20" eb="22">
      <t>サンカ</t>
    </rPh>
    <rPh sb="29" eb="30">
      <t>カナラ</t>
    </rPh>
    <rPh sb="31" eb="33">
      <t>キョウギ</t>
    </rPh>
    <rPh sb="33" eb="35">
      <t>ジカン</t>
    </rPh>
    <rPh sb="38" eb="40">
      <t>ゴウカク</t>
    </rPh>
    <phoneticPr fontId="1"/>
  </si>
  <si>
    <t>●競技会の途中でロボットに変更を加えた場合、必ず再車検を受けること。</t>
    <rPh sb="1" eb="4">
      <t>キョウギカイ</t>
    </rPh>
    <rPh sb="5" eb="7">
      <t>トチュウ</t>
    </rPh>
    <rPh sb="13" eb="15">
      <t>ヘンコウ</t>
    </rPh>
    <rPh sb="16" eb="17">
      <t>クワ</t>
    </rPh>
    <rPh sb="19" eb="21">
      <t>バアイ</t>
    </rPh>
    <rPh sb="22" eb="23">
      <t>カナラ</t>
    </rPh>
    <rPh sb="24" eb="25">
      <t>サイ</t>
    </rPh>
    <rPh sb="25" eb="27">
      <t>シャケン</t>
    </rPh>
    <rPh sb="28" eb="29">
      <t>ウ</t>
    </rPh>
    <phoneticPr fontId="1"/>
  </si>
  <si>
    <r>
      <t>【車検①】　</t>
    </r>
    <r>
      <rPr>
        <sz val="11"/>
        <rFont val="ＭＳ Ｐゴシック"/>
        <family val="3"/>
        <charset val="128"/>
      </rPr>
      <t>　　　　　　　　　　　　　　　　　　　　　　　　　　　　　　　　　　　</t>
    </r>
    <r>
      <rPr>
        <sz val="9"/>
        <rFont val="ＭＳ Ｐゴシック"/>
        <family val="3"/>
        <charset val="128"/>
      </rPr>
      <t>※項目内容が合格の場合、チェック欄に○印を記入。</t>
    </r>
    <rPh sb="1" eb="3">
      <t>シャケン</t>
    </rPh>
    <rPh sb="42" eb="44">
      <t>コウモク</t>
    </rPh>
    <rPh sb="44" eb="46">
      <t>ナイヨウ</t>
    </rPh>
    <rPh sb="47" eb="49">
      <t>ゴウカク</t>
    </rPh>
    <rPh sb="50" eb="52">
      <t>バアイ</t>
    </rPh>
    <rPh sb="57" eb="58">
      <t>ラン</t>
    </rPh>
    <rPh sb="60" eb="61">
      <t>シルシ</t>
    </rPh>
    <rPh sb="62" eb="64">
      <t>キニュウ</t>
    </rPh>
    <phoneticPr fontId="1"/>
  </si>
  <si>
    <t>チェック</t>
    <phoneticPr fontId="1"/>
  </si>
  <si>
    <t>備　　考</t>
    <rPh sb="0" eb="1">
      <t>ソナエ</t>
    </rPh>
    <rPh sb="3" eb="4">
      <t>コウ</t>
    </rPh>
    <phoneticPr fontId="1"/>
  </si>
  <si>
    <t>①サイズ</t>
    <phoneticPr fontId="1"/>
  </si>
  <si>
    <r>
      <t>【車検②】</t>
    </r>
    <r>
      <rPr>
        <sz val="11"/>
        <rFont val="ＭＳ Ｐゴシック"/>
        <family val="3"/>
        <charset val="128"/>
      </rPr>
      <t>※車検を受ける前に記入をしておくこと。</t>
    </r>
    <rPh sb="1" eb="3">
      <t>シャケン</t>
    </rPh>
    <rPh sb="6" eb="8">
      <t>シャケン</t>
    </rPh>
    <rPh sb="9" eb="10">
      <t>ウ</t>
    </rPh>
    <rPh sb="12" eb="13">
      <t>マエ</t>
    </rPh>
    <rPh sb="14" eb="16">
      <t>キニュウ</t>
    </rPh>
    <phoneticPr fontId="1"/>
  </si>
  <si>
    <t>（１）ロボットの構造・仕組みの特徴を説明してください。</t>
    <rPh sb="8" eb="10">
      <t>コウゾウ</t>
    </rPh>
    <rPh sb="11" eb="13">
      <t>シク</t>
    </rPh>
    <rPh sb="15" eb="17">
      <t>トクチョウ</t>
    </rPh>
    <rPh sb="18" eb="20">
      <t>セツメイ</t>
    </rPh>
    <phoneticPr fontId="1"/>
  </si>
  <si>
    <t>（２）ロボットのプログラムの特徴を説明してください。</t>
    <rPh sb="14" eb="16">
      <t>トクチョウ</t>
    </rPh>
    <rPh sb="17" eb="19">
      <t>セツメイ</t>
    </rPh>
    <phoneticPr fontId="1"/>
  </si>
  <si>
    <t>車検担当者サイン</t>
    <rPh sb="0" eb="2">
      <t>シャケン</t>
    </rPh>
    <rPh sb="2" eb="5">
      <t>タントウシャ</t>
    </rPh>
    <phoneticPr fontId="1"/>
  </si>
  <si>
    <t>（注）全項目が合格した場合にのみ、記入。</t>
    <rPh sb="1" eb="2">
      <t>チュウ</t>
    </rPh>
    <rPh sb="3" eb="6">
      <t>ゼンコウモク</t>
    </rPh>
    <rPh sb="7" eb="9">
      <t>ゴウカク</t>
    </rPh>
    <rPh sb="11" eb="13">
      <t>バアイ</t>
    </rPh>
    <rPh sb="17" eb="19">
      <t>キニュウ</t>
    </rPh>
    <phoneticPr fontId="1"/>
  </si>
  <si>
    <r>
      <t>【再車検】</t>
    </r>
    <r>
      <rPr>
        <sz val="11"/>
        <rFont val="ＭＳ Ｐゴシック"/>
        <family val="3"/>
        <charset val="128"/>
      </rPr>
      <t>※ロボットに変更を加えたら、必ず再車検を受けて車検担当者のサインをもらうこと。</t>
    </r>
    <rPh sb="1" eb="2">
      <t>サイ</t>
    </rPh>
    <rPh sb="2" eb="4">
      <t>シャケン</t>
    </rPh>
    <rPh sb="11" eb="13">
      <t>ヘンコウ</t>
    </rPh>
    <rPh sb="14" eb="15">
      <t>クワ</t>
    </rPh>
    <rPh sb="19" eb="20">
      <t>カナラ</t>
    </rPh>
    <rPh sb="21" eb="22">
      <t>サイ</t>
    </rPh>
    <rPh sb="22" eb="24">
      <t>シャケン</t>
    </rPh>
    <rPh sb="25" eb="26">
      <t>ウ</t>
    </rPh>
    <rPh sb="28" eb="30">
      <t>シャケン</t>
    </rPh>
    <rPh sb="30" eb="33">
      <t>タントウシャ</t>
    </rPh>
    <phoneticPr fontId="1"/>
  </si>
  <si>
    <t>ロボットのプログラムで工夫した点や見て欲しいところ</t>
    <phoneticPr fontId="1"/>
  </si>
  <si>
    <t>ロボット</t>
    <phoneticPr fontId="1"/>
  </si>
  <si>
    <t>プログラム</t>
    <phoneticPr fontId="1"/>
  </si>
  <si>
    <t>②ロボットの製作</t>
    <rPh sb="6" eb="8">
      <t>セイサク</t>
    </rPh>
    <phoneticPr fontId="1"/>
  </si>
  <si>
    <t>③プログラミング</t>
    <phoneticPr fontId="1"/>
  </si>
  <si>
    <t>●競技のときに、この用紙を審判に一緒に提出すること。</t>
    <rPh sb="1" eb="3">
      <t>キョウギ</t>
    </rPh>
    <rPh sb="10" eb="12">
      <t>ヨウシ</t>
    </rPh>
    <rPh sb="13" eb="15">
      <t>シンパン</t>
    </rPh>
    <rPh sb="16" eb="18">
      <t>イッショ</t>
    </rPh>
    <rPh sb="19" eb="21">
      <t>テイシュツ</t>
    </rPh>
    <phoneticPr fontId="1"/>
  </si>
  <si>
    <t>レスキュー車検シート</t>
    <rPh sb="5" eb="7">
      <t>シャケン</t>
    </rPh>
    <phoneticPr fontId="1"/>
  </si>
  <si>
    <t>レスキュー車検一覧</t>
    <rPh sb="5" eb="7">
      <t>シャケン</t>
    </rPh>
    <rPh sb="7" eb="9">
      <t>イチラン</t>
    </rPh>
    <phoneticPr fontId="1"/>
  </si>
  <si>
    <t>チェックポイント</t>
    <phoneticPr fontId="1"/>
  </si>
  <si>
    <t>救助</t>
    <rPh sb="0" eb="2">
      <t>キュウジョ</t>
    </rPh>
    <phoneticPr fontId="1"/>
  </si>
  <si>
    <t>チーム人数</t>
    <rPh sb="3" eb="5">
      <t>ニンズウ</t>
    </rPh>
    <phoneticPr fontId="1"/>
  </si>
  <si>
    <t>レスキューチーム一覧</t>
  </si>
  <si>
    <t>チーム番号</t>
    <rPh sb="3" eb="5">
      <t>バンゴウ</t>
    </rPh>
    <phoneticPr fontId="1"/>
  </si>
  <si>
    <t>No.</t>
    <phoneticPr fontId="1"/>
  </si>
  <si>
    <t>ふりがな</t>
    <phoneticPr fontId="1"/>
  </si>
  <si>
    <t>競技スケジュール</t>
    <rPh sb="0" eb="2">
      <t>キョウギ</t>
    </rPh>
    <phoneticPr fontId="1"/>
  </si>
  <si>
    <t>停止</t>
    <rPh sb="0" eb="2">
      <t>テイシ</t>
    </rPh>
    <phoneticPr fontId="1"/>
  </si>
  <si>
    <t>時間</t>
    <rPh sb="0" eb="2">
      <t>ジカン</t>
    </rPh>
    <phoneticPr fontId="1"/>
  </si>
  <si>
    <t>ふりがな</t>
    <phoneticPr fontId="1"/>
  </si>
  <si>
    <t>合計</t>
    <rPh sb="0" eb="2">
      <t>ゴウケイ</t>
    </rPh>
    <phoneticPr fontId="1"/>
  </si>
  <si>
    <t>順位</t>
    <rPh sb="0" eb="2">
      <t>ジュンイ</t>
    </rPh>
    <phoneticPr fontId="1"/>
  </si>
  <si>
    <t>レスキューチャレンジ</t>
    <phoneticPr fontId="1"/>
  </si>
  <si>
    <t>ロボットの構造や仕組みの特徴や見て欲しいところ</t>
    <rPh sb="5" eb="7">
      <t>コウゾウ</t>
    </rPh>
    <rPh sb="8" eb="10">
      <t>シク</t>
    </rPh>
    <rPh sb="12" eb="14">
      <t>トクチョウ</t>
    </rPh>
    <rPh sb="15" eb="16">
      <t>ミ</t>
    </rPh>
    <rPh sb="17" eb="18">
      <t>ホ</t>
    </rPh>
    <phoneticPr fontId="1"/>
  </si>
  <si>
    <t>競技アリーナのゲートを通るか（25cm×25cm）</t>
    <rPh sb="0" eb="2">
      <t>キョウギ</t>
    </rPh>
    <rPh sb="11" eb="12">
      <t>トオ</t>
    </rPh>
    <phoneticPr fontId="1"/>
  </si>
  <si>
    <t>１回目</t>
    <rPh sb="1" eb="2">
      <t>カイ</t>
    </rPh>
    <rPh sb="2" eb="3">
      <t>メ</t>
    </rPh>
    <phoneticPr fontId="1"/>
  </si>
  <si>
    <t>２回目</t>
    <rPh sb="1" eb="2">
      <t>カイ</t>
    </rPh>
    <rPh sb="2" eb="3">
      <t>メ</t>
    </rPh>
    <phoneticPr fontId="1"/>
  </si>
  <si>
    <t>1回目</t>
    <rPh sb="1" eb="2">
      <t>カイ</t>
    </rPh>
    <rPh sb="2" eb="3">
      <t>メ</t>
    </rPh>
    <phoneticPr fontId="1"/>
  </si>
  <si>
    <t>2回目</t>
    <rPh sb="1" eb="2">
      <t>カイ</t>
    </rPh>
    <rPh sb="2" eb="3">
      <t>メ</t>
    </rPh>
    <phoneticPr fontId="1"/>
  </si>
  <si>
    <t>RL02</t>
  </si>
  <si>
    <t>RL03</t>
  </si>
  <si>
    <t>RL04</t>
  </si>
  <si>
    <t>バンプ</t>
    <phoneticPr fontId="1"/>
  </si>
  <si>
    <t>チェックポイント得点</t>
    <rPh sb="8" eb="10">
      <t>トクテン</t>
    </rPh>
    <phoneticPr fontId="1"/>
  </si>
  <si>
    <t>被災者得点</t>
    <rPh sb="0" eb="3">
      <t>ヒサイシャ</t>
    </rPh>
    <rPh sb="3" eb="5">
      <t>トクテン</t>
    </rPh>
    <phoneticPr fontId="1"/>
  </si>
  <si>
    <t>RL05</t>
  </si>
  <si>
    <t>RN01</t>
  </si>
  <si>
    <t>RN02</t>
  </si>
  <si>
    <t>RL01</t>
  </si>
  <si>
    <t>RL06</t>
  </si>
  <si>
    <t>ギャップ</t>
    <phoneticPr fontId="1"/>
  </si>
  <si>
    <t>行き止まり</t>
    <rPh sb="0" eb="1">
      <t>イ</t>
    </rPh>
    <rPh sb="2" eb="3">
      <t>ド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</si>
  <si>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</si>
  <si>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</si>
  <si>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</si>
  <si>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</si>
  <si>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</si>
  <si>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</si>
  <si>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</si>
  <si>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</si>
  <si>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</si>
  <si>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種別</t>
    <rPh sb="0" eb="2">
      <t>シュベツ</t>
    </rPh>
    <phoneticPr fontId="1"/>
  </si>
  <si>
    <t>クリア</t>
    <phoneticPr fontId="1"/>
  </si>
  <si>
    <t>1st
x5</t>
    <phoneticPr fontId="1"/>
  </si>
  <si>
    <t>2nd
x3</t>
    <phoneticPr fontId="1"/>
  </si>
  <si>
    <t>3rd
x1</t>
    <phoneticPr fontId="1"/>
  </si>
  <si>
    <t>他</t>
    <rPh sb="0" eb="1">
      <t>ホカ</t>
    </rPh>
    <phoneticPr fontId="1"/>
  </si>
  <si>
    <t>スキップ</t>
    <phoneticPr fontId="1"/>
  </si>
  <si>
    <t>被災者救助</t>
    <rPh sb="0" eb="3">
      <t>ヒサイシャ</t>
    </rPh>
    <rPh sb="3" eb="5">
      <t>キュウジョ</t>
    </rPh>
    <phoneticPr fontId="1"/>
  </si>
  <si>
    <t>生きている被災者</t>
    <rPh sb="0" eb="1">
      <t>イ</t>
    </rPh>
    <rPh sb="5" eb="8">
      <t>ヒサイシャ</t>
    </rPh>
    <phoneticPr fontId="1"/>
  </si>
  <si>
    <t>死んだ被災者
（救出前）</t>
    <rPh sb="0" eb="1">
      <t>シ</t>
    </rPh>
    <rPh sb="3" eb="6">
      <t>ヒサイシャ</t>
    </rPh>
    <rPh sb="8" eb="10">
      <t>キュウシュツ</t>
    </rPh>
    <rPh sb="10" eb="11">
      <t>マエ</t>
    </rPh>
    <phoneticPr fontId="1"/>
  </si>
  <si>
    <t>死んだ被災者
（救出後）</t>
    <rPh sb="0" eb="1">
      <t>シ</t>
    </rPh>
    <rPh sb="3" eb="6">
      <t>ヒサイシャ</t>
    </rPh>
    <rPh sb="8" eb="10">
      <t>キュウシュツ</t>
    </rPh>
    <rPh sb="10" eb="11">
      <t>ゴ</t>
    </rPh>
    <phoneticPr fontId="1"/>
  </si>
  <si>
    <t>得点要素</t>
    <rPh sb="0" eb="2">
      <t>トクテン</t>
    </rPh>
    <rPh sb="2" eb="4">
      <t>ヨウソ</t>
    </rPh>
    <phoneticPr fontId="1"/>
  </si>
  <si>
    <t>x30/x40</t>
    <phoneticPr fontId="1"/>
  </si>
  <si>
    <t>x5/x5</t>
    <phoneticPr fontId="1"/>
  </si>
  <si>
    <t>x20/x30</t>
    <phoneticPr fontId="1"/>
  </si>
  <si>
    <t>進行停止</t>
    <rPh sb="0" eb="2">
      <t>シンコウ</t>
    </rPh>
    <rPh sb="2" eb="4">
      <t>テイシ</t>
    </rPh>
    <phoneticPr fontId="1"/>
  </si>
  <si>
    <t>枚数</t>
    <rPh sb="0" eb="2">
      <t>マイスウ</t>
    </rPh>
    <phoneticPr fontId="1"/>
  </si>
  <si>
    <t>タイル
位置</t>
    <rPh sb="4" eb="6">
      <t>イチ</t>
    </rPh>
    <phoneticPr fontId="1"/>
  </si>
  <si>
    <t>交差点</t>
    <rPh sb="0" eb="3">
      <t>コウサテン</t>
    </rPh>
    <phoneticPr fontId="1"/>
  </si>
  <si>
    <t>上り</t>
    <rPh sb="0" eb="1">
      <t>ノボ</t>
    </rPh>
    <phoneticPr fontId="1"/>
  </si>
  <si>
    <t>下り</t>
    <rPh sb="0" eb="1">
      <t>クダ</t>
    </rPh>
    <phoneticPr fontId="1"/>
  </si>
  <si>
    <t>11g</t>
    <phoneticPr fontId="1"/>
  </si>
  <si>
    <t>8g</t>
    <phoneticPr fontId="1"/>
  </si>
  <si>
    <t>6c</t>
    <phoneticPr fontId="1"/>
  </si>
  <si>
    <t>7d</t>
    <phoneticPr fontId="1"/>
  </si>
  <si>
    <t>タイル
No</t>
    <phoneticPr fontId="1"/>
  </si>
  <si>
    <t>主　審</t>
    <rPh sb="0" eb="1">
      <t>シュ</t>
    </rPh>
    <rPh sb="2" eb="3">
      <t>シン</t>
    </rPh>
    <phoneticPr fontId="1"/>
  </si>
  <si>
    <t>副　審</t>
    <rPh sb="0" eb="1">
      <t>フク</t>
    </rPh>
    <rPh sb="2" eb="3">
      <t>シン</t>
    </rPh>
    <phoneticPr fontId="1"/>
  </si>
  <si>
    <t>集　計</t>
    <rPh sb="0" eb="1">
      <t>シュウ</t>
    </rPh>
    <rPh sb="2" eb="3">
      <t>ケイ</t>
    </rPh>
    <phoneticPr fontId="1"/>
  </si>
  <si>
    <t>避難場所</t>
    <rPh sb="0" eb="2">
      <t>ヒナン</t>
    </rPh>
    <rPh sb="2" eb="4">
      <t>バショ</t>
    </rPh>
    <phoneticPr fontId="1"/>
  </si>
  <si>
    <t>10f</t>
    <phoneticPr fontId="1"/>
  </si>
  <si>
    <t>10g</t>
    <phoneticPr fontId="1"/>
  </si>
  <si>
    <t>7g</t>
    <phoneticPr fontId="1"/>
  </si>
  <si>
    <t>8f</t>
    <phoneticPr fontId="1"/>
  </si>
  <si>
    <t>9e</t>
    <phoneticPr fontId="1"/>
  </si>
  <si>
    <t>9d</t>
    <phoneticPr fontId="1"/>
  </si>
  <si>
    <t>8b</t>
    <phoneticPr fontId="1"/>
  </si>
  <si>
    <t>6b</t>
    <phoneticPr fontId="1"/>
  </si>
  <si>
    <t>5c</t>
    <phoneticPr fontId="1"/>
  </si>
  <si>
    <t>5d</t>
    <phoneticPr fontId="1"/>
  </si>
  <si>
    <t>合計得点</t>
    <rPh sb="0" eb="2">
      <t>ゴウケイ</t>
    </rPh>
    <rPh sb="2" eb="4">
      <t>トクテン</t>
    </rPh>
    <phoneticPr fontId="1"/>
  </si>
  <si>
    <t>脱出ボーナス</t>
    <rPh sb="0" eb="2">
      <t>ダッシュツ</t>
    </rPh>
    <phoneticPr fontId="1"/>
  </si>
  <si>
    <t>走行</t>
    <rPh sb="0" eb="2">
      <t>ソウコウ</t>
    </rPh>
    <phoneticPr fontId="1"/>
  </si>
  <si>
    <r>
      <rPr>
        <sz val="36"/>
        <color indexed="10"/>
        <rFont val="Bauhaus 93"/>
        <family val="5"/>
      </rPr>
      <t>R</t>
    </r>
    <r>
      <rPr>
        <sz val="36"/>
        <rFont val="Bauhaus 93"/>
        <family val="5"/>
      </rPr>
      <t>obo</t>
    </r>
    <r>
      <rPr>
        <sz val="36"/>
        <color indexed="10"/>
        <rFont val="Bauhaus 93"/>
        <family val="5"/>
      </rPr>
      <t>C</t>
    </r>
    <r>
      <rPr>
        <sz val="36"/>
        <rFont val="Bauhaus 93"/>
        <family val="5"/>
      </rPr>
      <t>up</t>
    </r>
    <r>
      <rPr>
        <sz val="36"/>
        <color indexed="10"/>
        <rFont val="Bauhaus 93"/>
        <family val="5"/>
      </rPr>
      <t>J</t>
    </r>
    <r>
      <rPr>
        <sz val="36"/>
        <rFont val="Bauhaus 93"/>
        <family val="5"/>
      </rPr>
      <t>unior</t>
    </r>
    <r>
      <rPr>
        <sz val="36"/>
        <rFont val="ＭＳ Ｐゴシック"/>
        <family val="3"/>
        <charset val="128"/>
      </rPr>
      <t>　</t>
    </r>
    <r>
      <rPr>
        <sz val="36"/>
        <color indexed="40"/>
        <rFont val="Bauhaus 93"/>
        <family val="5"/>
      </rPr>
      <t>Chiba2019</t>
    </r>
    <phoneticPr fontId="1"/>
  </si>
  <si>
    <r>
      <t>RoboCupJunior</t>
    </r>
    <r>
      <rPr>
        <sz val="16"/>
        <rFont val="ＭＳ Ｐゴシック"/>
        <family val="3"/>
        <charset val="128"/>
      </rPr>
      <t>　</t>
    </r>
    <r>
      <rPr>
        <sz val="16"/>
        <rFont val="Bauhaus 93"/>
        <family val="5"/>
      </rPr>
      <t>Chiba2019</t>
    </r>
    <phoneticPr fontId="1"/>
  </si>
  <si>
    <r>
      <t>RoboCupJunior</t>
    </r>
    <r>
      <rPr>
        <sz val="16"/>
        <rFont val="ＭＳ Ｐゴシック"/>
        <family val="3"/>
        <charset val="128"/>
      </rPr>
      <t>　</t>
    </r>
    <r>
      <rPr>
        <sz val="16"/>
        <rFont val="Bauhaus 93"/>
        <family val="5"/>
      </rPr>
      <t>Chiba2019</t>
    </r>
    <phoneticPr fontId="1"/>
  </si>
  <si>
    <t>進行停止</t>
    <rPh sb="0" eb="2">
      <t>シンコウ</t>
    </rPh>
    <rPh sb="2" eb="4">
      <t>テイシ</t>
    </rPh>
    <phoneticPr fontId="1"/>
  </si>
  <si>
    <t>得点要素</t>
    <rPh sb="0" eb="2">
      <t>トクテン</t>
    </rPh>
    <rPh sb="2" eb="4">
      <t>ヨウソ</t>
    </rPh>
    <phoneticPr fontId="1"/>
  </si>
  <si>
    <t>チェックポイント</t>
    <phoneticPr fontId="1"/>
  </si>
  <si>
    <t>得点</t>
    <rPh sb="0" eb="2">
      <t>トクテン</t>
    </rPh>
    <phoneticPr fontId="1"/>
  </si>
  <si>
    <t>停止</t>
    <rPh sb="0" eb="2">
      <t>テイシ</t>
    </rPh>
    <phoneticPr fontId="1"/>
  </si>
  <si>
    <t>救助</t>
    <rPh sb="0" eb="2">
      <t>キュウジョ</t>
    </rPh>
    <phoneticPr fontId="1"/>
  </si>
  <si>
    <t>銀</t>
    <rPh sb="0" eb="1">
      <t>ギン</t>
    </rPh>
    <phoneticPr fontId="1"/>
  </si>
  <si>
    <t>黒１</t>
    <rPh sb="0" eb="1">
      <t>クロ</t>
    </rPh>
    <phoneticPr fontId="1"/>
  </si>
  <si>
    <t>黒２</t>
    <rPh sb="0" eb="1">
      <t>クロ</t>
    </rPh>
    <phoneticPr fontId="1"/>
  </si>
  <si>
    <t>時間</t>
    <rPh sb="0" eb="2">
      <t>ジカン</t>
    </rPh>
    <phoneticPr fontId="1"/>
  </si>
  <si>
    <t>脱出</t>
    <rPh sb="0" eb="2">
      <t>ダッシュツ</t>
    </rPh>
    <phoneticPr fontId="1"/>
  </si>
  <si>
    <t>2回目</t>
    <rPh sb="1" eb="3">
      <t>カイメ</t>
    </rPh>
    <phoneticPr fontId="1"/>
  </si>
  <si>
    <t>1回目</t>
    <rPh sb="1" eb="3">
      <t>カイメ</t>
    </rPh>
    <phoneticPr fontId="1"/>
  </si>
  <si>
    <t>印刷番号と走行でチームを指定してから押す</t>
    <rPh sb="0" eb="2">
      <t>インサツ</t>
    </rPh>
    <rPh sb="2" eb="4">
      <t>バンゴウ</t>
    </rPh>
    <rPh sb="5" eb="7">
      <t>ソウコウ</t>
    </rPh>
    <rPh sb="12" eb="14">
      <t>シテイ</t>
    </rPh>
    <rPh sb="18" eb="19">
      <t>オ</t>
    </rPh>
    <phoneticPr fontId="1"/>
  </si>
  <si>
    <t>2018.11.18</t>
    <phoneticPr fontId="1"/>
  </si>
  <si>
    <t>まり・きゅりー</t>
    <phoneticPr fontId="1"/>
  </si>
  <si>
    <t>マリキュリー</t>
    <phoneticPr fontId="1"/>
  </si>
  <si>
    <t>チームおゆみ野</t>
    <phoneticPr fontId="1"/>
  </si>
  <si>
    <t>チームオユミノ</t>
    <phoneticPr fontId="1"/>
  </si>
  <si>
    <t>HAYATE</t>
  </si>
  <si>
    <t>ハヤテ</t>
  </si>
  <si>
    <t>県千葉GSU</t>
  </si>
  <si>
    <t>ケンチバジーエスユー</t>
  </si>
  <si>
    <t>わとそん</t>
  </si>
  <si>
    <t>ワトソン</t>
  </si>
  <si>
    <t>おいらぁ</t>
  </si>
  <si>
    <t>オイラァ</t>
  </si>
  <si>
    <t>ぱうり</t>
  </si>
  <si>
    <t>パウリ</t>
  </si>
  <si>
    <t>まくすうぇる</t>
  </si>
  <si>
    <t>マクスウェル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</si>
</sst>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;\-0;&quot;&quot;"/>
    <numFmt numFmtId="177" formatCode="hh:mm"/>
    <numFmt numFmtId="178" formatCode="hh:mm;;&quot;&quot;"/>
    <numFmt numFmtId="179" formatCode="h:mm;@"/>
    <numFmt numFmtId="180" formatCode="h:mm;;&quot;&quot;"/>
  </numFmts>
  <fonts count="48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i/>
      <sz val="36"/>
      <name val="ＭＳ Ｐゴシック"/>
      <family val="3"/>
      <charset val="128"/>
    </font>
    <font>
      <sz val="18"/>
      <name val="ＭＳ Ｐゴシック"/>
      <family val="3"/>
      <charset val="128"/>
    </font>
    <font>
      <sz val="10.5"/>
      <name val="ＭＳ ゴシック"/>
      <family val="3"/>
      <charset val="128"/>
    </font>
    <font>
      <sz val="12"/>
      <name val="ＭＳ ゴシック"/>
      <family val="3"/>
      <charset val="128"/>
    </font>
    <font>
      <sz val="12"/>
      <name val="ＭＳ Ｐゴシック"/>
      <family val="3"/>
      <charset val="128"/>
    </font>
    <font>
      <sz val="8"/>
      <name val="ＭＳ Ｐゴシック"/>
      <family val="3"/>
      <charset val="128"/>
    </font>
    <font>
      <sz val="12"/>
      <name val="ＭＳ 明朝"/>
      <family val="1"/>
      <charset val="128"/>
    </font>
    <font>
      <b/>
      <sz val="14"/>
      <name val="ＭＳ Ｐ明朝"/>
      <family val="1"/>
      <charset val="128"/>
    </font>
    <font>
      <sz val="9"/>
      <name val="ＭＳ Ｐ明朝"/>
      <family val="1"/>
      <charset val="128"/>
    </font>
    <font>
      <b/>
      <sz val="18"/>
      <color indexed="9"/>
      <name val="ＭＳ Ｐゴシック"/>
      <family val="3"/>
      <charset val="128"/>
    </font>
    <font>
      <sz val="9"/>
      <name val="ＭＳ Ｐゴシック"/>
      <family val="3"/>
      <charset val="128"/>
    </font>
    <font>
      <sz val="14"/>
      <name val="ＭＳ Ｐゴシック"/>
      <family val="3"/>
      <charset val="128"/>
    </font>
    <font>
      <i/>
      <sz val="2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16"/>
      <name val="ＭＳ Ｐゴシック"/>
      <family val="3"/>
      <charset val="128"/>
    </font>
    <font>
      <sz val="16"/>
      <name val="Bauhaus 93"/>
      <family val="5"/>
    </font>
    <font>
      <sz val="36"/>
      <name val="ＭＳ Ｐゴシック"/>
      <family val="3"/>
      <charset val="128"/>
    </font>
    <font>
      <sz val="36"/>
      <color indexed="10"/>
      <name val="Bauhaus 93"/>
      <family val="5"/>
    </font>
    <font>
      <sz val="36"/>
      <name val="Bauhaus 93"/>
      <family val="5"/>
    </font>
    <font>
      <sz val="36"/>
      <color indexed="40"/>
      <name val="Bauhaus 93"/>
      <family val="5"/>
    </font>
    <font>
      <sz val="11"/>
      <name val="メイリオ"/>
      <family val="3"/>
      <charset val="128"/>
    </font>
    <font>
      <sz val="9"/>
      <name val="メイリオ"/>
      <family val="3"/>
      <charset val="128"/>
    </font>
    <font>
      <sz val="6"/>
      <name val="メイリオ"/>
      <family val="3"/>
      <charset val="128"/>
    </font>
    <font>
      <sz val="11"/>
      <color rgb="FF222222"/>
      <name val="Arial"/>
      <family val="2"/>
    </font>
    <font>
      <sz val="12"/>
      <name val="メイリオ"/>
      <family val="3"/>
      <charset val="128"/>
    </font>
    <font>
      <sz val="14"/>
      <name val="メイリオ"/>
      <family val="3"/>
      <charset val="128"/>
    </font>
    <font>
      <sz val="18"/>
      <name val="メイリオ"/>
      <family val="3"/>
      <charset val="128"/>
    </font>
    <font>
      <sz val="10"/>
      <name val="メイリオ"/>
      <family val="3"/>
      <charset val="128"/>
    </font>
    <font>
      <b/>
      <u/>
      <sz val="11"/>
      <name val="メイリオ"/>
      <family val="3"/>
      <charset val="128"/>
    </font>
    <font>
      <b/>
      <sz val="12"/>
      <color theme="0"/>
      <name val="メイリオ"/>
      <family val="3"/>
      <charset val="128"/>
    </font>
    <font>
      <sz val="16"/>
      <color theme="0"/>
      <name val="メイリオ"/>
      <family val="3"/>
      <charset val="128"/>
    </font>
    <font>
      <sz val="14"/>
      <color theme="0"/>
      <name val="メイリオ"/>
      <family val="3"/>
      <charset val="128"/>
    </font>
    <font>
      <sz val="14"/>
      <color theme="0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sz val="9"/>
      <color theme="0"/>
      <name val="メイリオ"/>
      <family val="3"/>
      <charset val="128"/>
    </font>
    <font>
      <sz val="9"/>
      <color rgb="FF000000"/>
      <name val="Meiryo UI"/>
      <family val="3"/>
      <charset val="128"/>
    </font>
    <font>
      <sz val="36"/>
      <name val="ＭＳ Ｐゴシック"/>
      <family val="5"/>
      <charset val="128"/>
    </font>
    <font>
      <sz val="16"/>
      <color theme="0" tint="-0.249977111117893"/>
      <name val="メイリオ"/>
      <family val="3"/>
      <charset val="128"/>
    </font>
    <font>
      <sz val="11"/>
      <name val="Meiryo UI"/>
      <family val="3"/>
      <charset val="128"/>
    </font>
    <font>
      <sz val="11"/>
      <color rgb="FF000000"/>
      <name val="ＭＳ Ｐゴシック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6337778862885"/>
        <bgColor indexed="64"/>
      </patternFill>
    </fill>
  </fills>
  <borders count="12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434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3" fillId="0" borderId="0" xfId="0" applyFont="1"/>
    <xf numFmtId="0" fontId="5" fillId="0" borderId="0" xfId="0" applyFont="1"/>
    <xf numFmtId="0" fontId="0" fillId="0" borderId="0" xfId="0" applyAlignment="1">
      <alignment horizontal="center" vertic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8" fillId="0" borderId="0" xfId="0" applyFont="1" applyAlignment="1">
      <alignment vertical="top"/>
    </xf>
    <xf numFmtId="0" fontId="5" fillId="0" borderId="0" xfId="0" applyFont="1" applyFill="1"/>
    <xf numFmtId="0" fontId="3" fillId="0" borderId="0" xfId="1">
      <alignment vertical="center"/>
    </xf>
    <xf numFmtId="0" fontId="3" fillId="0" borderId="0" xfId="1" applyAlignment="1">
      <alignment horizontal="center" vertical="center"/>
    </xf>
    <xf numFmtId="0" fontId="3" fillId="0" borderId="5" xfId="1" applyBorder="1">
      <alignment vertical="center"/>
    </xf>
    <xf numFmtId="0" fontId="3" fillId="0" borderId="2" xfId="1" applyBorder="1">
      <alignment vertical="center"/>
    </xf>
    <xf numFmtId="0" fontId="3" fillId="0" borderId="8" xfId="1" applyBorder="1">
      <alignment vertical="center"/>
    </xf>
    <xf numFmtId="0" fontId="3" fillId="0" borderId="9" xfId="1" applyBorder="1">
      <alignment vertical="center"/>
    </xf>
    <xf numFmtId="0" fontId="3" fillId="0" borderId="10" xfId="1" applyBorder="1">
      <alignment vertical="center"/>
    </xf>
    <xf numFmtId="0" fontId="15" fillId="0" borderId="0" xfId="1" applyFont="1" applyAlignment="1">
      <alignment vertical="center"/>
    </xf>
    <xf numFmtId="0" fontId="16" fillId="0" borderId="0" xfId="1" applyFont="1" applyAlignment="1">
      <alignment horizontal="right" vertical="center"/>
    </xf>
    <xf numFmtId="0" fontId="3" fillId="0" borderId="0" xfId="1" applyFont="1">
      <alignment vertical="center"/>
    </xf>
    <xf numFmtId="0" fontId="12" fillId="0" borderId="11" xfId="1" applyFont="1" applyBorder="1" applyAlignment="1">
      <alignment horizontal="center" vertical="center"/>
    </xf>
    <xf numFmtId="0" fontId="3" fillId="2" borderId="12" xfId="1" applyFont="1" applyFill="1" applyBorder="1" applyAlignment="1">
      <alignment horizontal="center" vertical="center"/>
    </xf>
    <xf numFmtId="0" fontId="12" fillId="0" borderId="0" xfId="1" applyFont="1">
      <alignment vertical="center"/>
    </xf>
    <xf numFmtId="0" fontId="12" fillId="0" borderId="13" xfId="1" applyFont="1" applyBorder="1">
      <alignment vertical="center"/>
    </xf>
    <xf numFmtId="0" fontId="12" fillId="0" borderId="0" xfId="1" applyFont="1" applyBorder="1" applyAlignment="1">
      <alignment horizontal="left" vertical="center"/>
    </xf>
    <xf numFmtId="0" fontId="12" fillId="0" borderId="0" xfId="1" applyFont="1" applyBorder="1">
      <alignment vertical="center"/>
    </xf>
    <xf numFmtId="0" fontId="3" fillId="0" borderId="0" xfId="1" applyFont="1" applyBorder="1" applyAlignment="1">
      <alignment horizontal="left" vertical="center"/>
    </xf>
    <xf numFmtId="0" fontId="12" fillId="0" borderId="0" xfId="1" applyFont="1" applyAlignment="1">
      <alignment horizontal="center" vertical="center"/>
    </xf>
    <xf numFmtId="0" fontId="12" fillId="0" borderId="14" xfId="1" applyFont="1" applyBorder="1" applyAlignment="1">
      <alignment horizontal="left" vertical="center"/>
    </xf>
    <xf numFmtId="0" fontId="12" fillId="0" borderId="14" xfId="1" applyFont="1" applyBorder="1">
      <alignment vertical="center"/>
    </xf>
    <xf numFmtId="0" fontId="3" fillId="0" borderId="2" xfId="1" applyBorder="1" applyAlignment="1">
      <alignment horizontal="center" vertical="center"/>
    </xf>
    <xf numFmtId="0" fontId="3" fillId="0" borderId="2" xfId="1" applyBorder="1" applyAlignment="1">
      <alignment vertical="center"/>
    </xf>
    <xf numFmtId="0" fontId="12" fillId="0" borderId="2" xfId="1" applyFont="1" applyBorder="1">
      <alignment vertical="center"/>
    </xf>
    <xf numFmtId="0" fontId="12" fillId="0" borderId="4" xfId="1" applyFont="1" applyBorder="1">
      <alignment vertical="center"/>
    </xf>
    <xf numFmtId="0" fontId="3" fillId="0" borderId="15" xfId="1" applyBorder="1">
      <alignment vertical="center"/>
    </xf>
    <xf numFmtId="0" fontId="5" fillId="0" borderId="0" xfId="0" applyFont="1" applyAlignment="1"/>
    <xf numFmtId="0" fontId="3" fillId="0" borderId="16" xfId="1" applyBorder="1">
      <alignment vertical="center"/>
    </xf>
    <xf numFmtId="0" fontId="3" fillId="0" borderId="17" xfId="1" applyBorder="1">
      <alignment vertical="center"/>
    </xf>
    <xf numFmtId="0" fontId="3" fillId="0" borderId="18" xfId="1" applyBorder="1">
      <alignment vertical="center"/>
    </xf>
    <xf numFmtId="0" fontId="3" fillId="0" borderId="19" xfId="1" applyBorder="1">
      <alignment vertical="center"/>
    </xf>
    <xf numFmtId="0" fontId="3" fillId="0" borderId="20" xfId="1" applyBorder="1">
      <alignment vertical="center"/>
    </xf>
    <xf numFmtId="0" fontId="3" fillId="0" borderId="21" xfId="1" applyBorder="1">
      <alignment vertical="center"/>
    </xf>
    <xf numFmtId="0" fontId="0" fillId="5" borderId="2" xfId="0" applyFill="1" applyBorder="1"/>
    <xf numFmtId="0" fontId="4" fillId="0" borderId="0" xfId="0" applyFont="1" applyAlignment="1">
      <alignment horizontal="right"/>
    </xf>
    <xf numFmtId="0" fontId="4" fillId="0" borderId="0" xfId="0" applyFont="1" applyBorder="1" applyAlignment="1">
      <alignment horizontal="right"/>
    </xf>
    <xf numFmtId="0" fontId="20" fillId="0" borderId="0" xfId="0" applyFont="1" applyAlignment="1">
      <alignment vertical="top"/>
    </xf>
    <xf numFmtId="20" fontId="0" fillId="0" borderId="0" xfId="0" applyNumberFormat="1"/>
    <xf numFmtId="0" fontId="0" fillId="0" borderId="0" xfId="0" applyNumberFormat="1"/>
    <xf numFmtId="0" fontId="0" fillId="6" borderId="2" xfId="0" applyNumberFormat="1" applyFill="1" applyBorder="1"/>
    <xf numFmtId="0" fontId="0" fillId="7" borderId="24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20" fontId="0" fillId="6" borderId="1" xfId="0" applyNumberFormat="1" applyFill="1" applyBorder="1"/>
    <xf numFmtId="0" fontId="20" fillId="0" borderId="0" xfId="0" applyFont="1"/>
    <xf numFmtId="0" fontId="0" fillId="0" borderId="0" xfId="0" applyAlignment="1">
      <alignment horizontal="right"/>
    </xf>
    <xf numFmtId="0" fontId="0" fillId="5" borderId="2" xfId="0" applyFill="1" applyBorder="1" applyAlignment="1">
      <alignment horizontal="center"/>
    </xf>
    <xf numFmtId="0" fontId="0" fillId="5" borderId="10" xfId="0" applyFill="1" applyBorder="1"/>
    <xf numFmtId="0" fontId="12" fillId="7" borderId="25" xfId="1" applyFont="1" applyFill="1" applyBorder="1" applyAlignment="1">
      <alignment horizontal="center" vertical="center"/>
    </xf>
    <xf numFmtId="0" fontId="12" fillId="7" borderId="26" xfId="1" applyFont="1" applyFill="1" applyBorder="1" applyAlignment="1">
      <alignment horizontal="center" vertical="center"/>
    </xf>
    <xf numFmtId="0" fontId="12" fillId="7" borderId="27" xfId="1" applyFont="1" applyFill="1" applyBorder="1" applyAlignment="1">
      <alignment horizontal="center" vertical="center"/>
    </xf>
    <xf numFmtId="0" fontId="12" fillId="7" borderId="28" xfId="1" applyFont="1" applyFill="1" applyBorder="1" applyAlignment="1">
      <alignment horizontal="center" vertical="center"/>
    </xf>
    <xf numFmtId="0" fontId="6" fillId="7" borderId="25" xfId="1" applyFont="1" applyFill="1" applyBorder="1" applyAlignment="1">
      <alignment horizontal="center" vertical="center"/>
    </xf>
    <xf numFmtId="0" fontId="6" fillId="7" borderId="26" xfId="1" applyFont="1" applyFill="1" applyBorder="1" applyAlignment="1">
      <alignment horizontal="center" vertical="center"/>
    </xf>
    <xf numFmtId="0" fontId="6" fillId="7" borderId="27" xfId="1" applyFont="1" applyFill="1" applyBorder="1" applyAlignment="1">
      <alignment horizontal="center" vertical="center"/>
    </xf>
    <xf numFmtId="0" fontId="6" fillId="7" borderId="29" xfId="1" applyFont="1" applyFill="1" applyBorder="1" applyAlignment="1">
      <alignment horizontal="center" vertical="center"/>
    </xf>
    <xf numFmtId="0" fontId="13" fillId="7" borderId="30" xfId="1" applyFont="1" applyFill="1" applyBorder="1" applyAlignment="1">
      <alignment horizontal="center" vertical="center"/>
    </xf>
    <xf numFmtId="0" fontId="13" fillId="7" borderId="31" xfId="1" applyFont="1" applyFill="1" applyBorder="1" applyAlignment="1">
      <alignment horizontal="center" vertical="center"/>
    </xf>
    <xf numFmtId="0" fontId="13" fillId="7" borderId="32" xfId="1" applyFont="1" applyFill="1" applyBorder="1" applyAlignment="1">
      <alignment horizontal="center" vertical="center" wrapText="1"/>
    </xf>
    <xf numFmtId="0" fontId="13" fillId="7" borderId="33" xfId="1" applyFont="1" applyFill="1" applyBorder="1" applyAlignment="1">
      <alignment horizontal="center" vertical="center"/>
    </xf>
    <xf numFmtId="0" fontId="13" fillId="7" borderId="34" xfId="1" applyFont="1" applyFill="1" applyBorder="1" applyAlignment="1">
      <alignment horizontal="center" vertical="center"/>
    </xf>
    <xf numFmtId="0" fontId="14" fillId="5" borderId="35" xfId="1" applyFont="1" applyFill="1" applyBorder="1" applyAlignment="1">
      <alignment horizontal="center" vertical="center" wrapText="1"/>
    </xf>
    <xf numFmtId="0" fontId="14" fillId="5" borderId="36" xfId="1" applyFont="1" applyFill="1" applyBorder="1" applyAlignment="1">
      <alignment horizontal="center" vertical="center" wrapText="1"/>
    </xf>
    <xf numFmtId="0" fontId="14" fillId="5" borderId="37" xfId="1" applyFont="1" applyFill="1" applyBorder="1" applyAlignment="1">
      <alignment horizontal="center" vertical="center" wrapText="1"/>
    </xf>
    <xf numFmtId="0" fontId="14" fillId="5" borderId="38" xfId="1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 applyAlignment="1"/>
    <xf numFmtId="0" fontId="0" fillId="7" borderId="39" xfId="0" applyFill="1" applyBorder="1" applyAlignment="1">
      <alignment horizontal="center"/>
    </xf>
    <xf numFmtId="0" fontId="0" fillId="7" borderId="26" xfId="0" applyFill="1" applyBorder="1" applyAlignment="1">
      <alignment horizontal="center"/>
    </xf>
    <xf numFmtId="0" fontId="0" fillId="7" borderId="29" xfId="0" applyFill="1" applyBorder="1" applyAlignment="1">
      <alignment horizontal="center"/>
    </xf>
    <xf numFmtId="20" fontId="0" fillId="5" borderId="41" xfId="0" applyNumberFormat="1" applyFill="1" applyBorder="1"/>
    <xf numFmtId="0" fontId="3" fillId="0" borderId="0" xfId="1" applyAlignment="1">
      <alignment horizontal="left" vertical="center"/>
    </xf>
    <xf numFmtId="0" fontId="9" fillId="0" borderId="0" xfId="1" applyFont="1" applyAlignment="1">
      <alignment horizontal="left" vertical="center"/>
    </xf>
    <xf numFmtId="0" fontId="0" fillId="0" borderId="0" xfId="0" applyFont="1"/>
    <xf numFmtId="0" fontId="5" fillId="5" borderId="1" xfId="0" applyFont="1" applyFill="1" applyBorder="1"/>
    <xf numFmtId="20" fontId="0" fillId="6" borderId="2" xfId="0" applyNumberFormat="1" applyFill="1" applyBorder="1" applyAlignment="1">
      <alignment horizontal="center"/>
    </xf>
    <xf numFmtId="0" fontId="0" fillId="6" borderId="2" xfId="0" applyFill="1" applyBorder="1" applyAlignment="1">
      <alignment vertical="center"/>
    </xf>
    <xf numFmtId="0" fontId="0" fillId="7" borderId="29" xfId="0" applyFill="1" applyBorder="1" applyAlignment="1"/>
    <xf numFmtId="0" fontId="5" fillId="5" borderId="44" xfId="0" applyFont="1" applyFill="1" applyBorder="1"/>
    <xf numFmtId="20" fontId="0" fillId="6" borderId="17" xfId="0" applyNumberFormat="1" applyFill="1" applyBorder="1" applyAlignment="1">
      <alignment horizontal="center"/>
    </xf>
    <xf numFmtId="0" fontId="0" fillId="6" borderId="17" xfId="0" applyFill="1" applyBorder="1" applyAlignment="1">
      <alignment vertical="center"/>
    </xf>
    <xf numFmtId="0" fontId="5" fillId="5" borderId="45" xfId="0" applyFont="1" applyFill="1" applyBorder="1"/>
    <xf numFmtId="20" fontId="0" fillId="6" borderId="31" xfId="0" applyNumberFormat="1" applyFill="1" applyBorder="1" applyAlignment="1">
      <alignment horizontal="center"/>
    </xf>
    <xf numFmtId="0" fontId="0" fillId="6" borderId="31" xfId="0" applyFill="1" applyBorder="1" applyAlignment="1">
      <alignment vertical="center"/>
    </xf>
    <xf numFmtId="20" fontId="0" fillId="6" borderId="24" xfId="0" applyNumberFormat="1" applyFill="1" applyBorder="1"/>
    <xf numFmtId="0" fontId="0" fillId="6" borderId="22" xfId="0" applyNumberFormat="1" applyFill="1" applyBorder="1"/>
    <xf numFmtId="0" fontId="0" fillId="5" borderId="22" xfId="0" applyFill="1" applyBorder="1" applyAlignment="1">
      <alignment horizontal="center"/>
    </xf>
    <xf numFmtId="0" fontId="0" fillId="5" borderId="22" xfId="0" applyFill="1" applyBorder="1"/>
    <xf numFmtId="0" fontId="0" fillId="5" borderId="23" xfId="0" applyFill="1" applyBorder="1"/>
    <xf numFmtId="177" fontId="0" fillId="6" borderId="41" xfId="0" applyNumberFormat="1" applyFont="1" applyFill="1" applyBorder="1" applyAlignment="1">
      <alignment horizontal="right"/>
    </xf>
    <xf numFmtId="20" fontId="0" fillId="5" borderId="48" xfId="0" applyNumberFormat="1" applyFill="1" applyBorder="1"/>
    <xf numFmtId="0" fontId="0" fillId="7" borderId="24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0" fillId="8" borderId="51" xfId="0" applyFill="1" applyBorder="1"/>
    <xf numFmtId="0" fontId="0" fillId="8" borderId="41" xfId="0" applyFill="1" applyBorder="1"/>
    <xf numFmtId="0" fontId="0" fillId="8" borderId="52" xfId="0" applyFill="1" applyBorder="1"/>
    <xf numFmtId="0" fontId="0" fillId="8" borderId="53" xfId="0" applyFill="1" applyBorder="1"/>
    <xf numFmtId="0" fontId="0" fillId="6" borderId="54" xfId="0" applyFill="1" applyBorder="1"/>
    <xf numFmtId="0" fontId="0" fillId="8" borderId="40" xfId="0" applyFill="1" applyBorder="1"/>
    <xf numFmtId="0" fontId="0" fillId="6" borderId="46" xfId="0" applyFill="1" applyBorder="1"/>
    <xf numFmtId="0" fontId="0" fillId="8" borderId="55" xfId="0" applyFill="1" applyBorder="1"/>
    <xf numFmtId="0" fontId="0" fillId="6" borderId="56" xfId="0" applyFill="1" applyBorder="1"/>
    <xf numFmtId="0" fontId="0" fillId="8" borderId="42" xfId="0" applyFill="1" applyBorder="1"/>
    <xf numFmtId="0" fontId="0" fillId="8" borderId="43" xfId="0" applyFill="1" applyBorder="1"/>
    <xf numFmtId="0" fontId="0" fillId="6" borderId="47" xfId="0" applyFill="1" applyBorder="1"/>
    <xf numFmtId="0" fontId="0" fillId="7" borderId="57" xfId="0" applyFill="1" applyBorder="1" applyAlignment="1">
      <alignment horizontal="center" vertical="center"/>
    </xf>
    <xf numFmtId="0" fontId="0" fillId="8" borderId="58" xfId="0" applyFill="1" applyBorder="1"/>
    <xf numFmtId="0" fontId="0" fillId="8" borderId="48" xfId="0" applyFill="1" applyBorder="1"/>
    <xf numFmtId="0" fontId="0" fillId="8" borderId="59" xfId="0" applyFill="1" applyBorder="1"/>
    <xf numFmtId="0" fontId="0" fillId="8" borderId="49" xfId="0" applyFill="1" applyBorder="1"/>
    <xf numFmtId="0" fontId="2" fillId="7" borderId="60" xfId="0" applyFont="1" applyFill="1" applyBorder="1" applyAlignment="1">
      <alignment horizontal="center" vertical="center"/>
    </xf>
    <xf numFmtId="0" fontId="2" fillId="7" borderId="24" xfId="0" applyFont="1" applyFill="1" applyBorder="1" applyAlignment="1">
      <alignment horizontal="center" vertical="center"/>
    </xf>
    <xf numFmtId="0" fontId="2" fillId="8" borderId="53" xfId="0" applyFont="1" applyFill="1" applyBorder="1"/>
    <xf numFmtId="0" fontId="2" fillId="8" borderId="40" xfId="0" applyFont="1" applyFill="1" applyBorder="1"/>
    <xf numFmtId="0" fontId="2" fillId="8" borderId="55" xfId="0" applyFont="1" applyFill="1" applyBorder="1"/>
    <xf numFmtId="0" fontId="2" fillId="8" borderId="42" xfId="0" applyFont="1" applyFill="1" applyBorder="1"/>
    <xf numFmtId="0" fontId="2" fillId="5" borderId="61" xfId="0" applyFont="1" applyFill="1" applyBorder="1"/>
    <xf numFmtId="0" fontId="2" fillId="5" borderId="62" xfId="0" applyFont="1" applyFill="1" applyBorder="1"/>
    <xf numFmtId="0" fontId="2" fillId="5" borderId="63" xfId="0" applyFont="1" applyFill="1" applyBorder="1"/>
    <xf numFmtId="0" fontId="2" fillId="5" borderId="64" xfId="0" applyFont="1" applyFill="1" applyBorder="1"/>
    <xf numFmtId="0" fontId="14" fillId="5" borderId="65" xfId="1" applyFont="1" applyFill="1" applyBorder="1" applyAlignment="1">
      <alignment horizontal="center" vertical="center" wrapText="1"/>
    </xf>
    <xf numFmtId="0" fontId="14" fillId="5" borderId="66" xfId="1" applyFont="1" applyFill="1" applyBorder="1" applyAlignment="1">
      <alignment horizontal="center" vertical="center" wrapText="1"/>
    </xf>
    <xf numFmtId="0" fontId="3" fillId="0" borderId="67" xfId="1" applyBorder="1">
      <alignment vertical="center"/>
    </xf>
    <xf numFmtId="0" fontId="3" fillId="0" borderId="4" xfId="1" applyBorder="1">
      <alignment vertical="center"/>
    </xf>
    <xf numFmtId="0" fontId="3" fillId="0" borderId="68" xfId="1" applyBorder="1">
      <alignment vertical="center"/>
    </xf>
    <xf numFmtId="0" fontId="3" fillId="0" borderId="69" xfId="1" applyBorder="1">
      <alignment vertical="center"/>
    </xf>
    <xf numFmtId="0" fontId="3" fillId="0" borderId="70" xfId="1" applyBorder="1">
      <alignment vertical="center"/>
    </xf>
    <xf numFmtId="0" fontId="3" fillId="0" borderId="71" xfId="1" applyBorder="1">
      <alignment vertical="center"/>
    </xf>
    <xf numFmtId="0" fontId="5" fillId="5" borderId="3" xfId="0" applyFont="1" applyFill="1" applyBorder="1"/>
    <xf numFmtId="20" fontId="0" fillId="6" borderId="4" xfId="0" applyNumberFormat="1" applyFill="1" applyBorder="1" applyAlignment="1">
      <alignment horizontal="center"/>
    </xf>
    <xf numFmtId="0" fontId="0" fillId="6" borderId="4" xfId="0" applyFill="1" applyBorder="1" applyAlignment="1">
      <alignment vertical="center"/>
    </xf>
    <xf numFmtId="20" fontId="0" fillId="6" borderId="3" xfId="0" applyNumberFormat="1" applyFill="1" applyBorder="1"/>
    <xf numFmtId="0" fontId="0" fillId="6" borderId="4" xfId="0" applyNumberFormat="1" applyFill="1" applyBorder="1"/>
    <xf numFmtId="0" fontId="0" fillId="5" borderId="4" xfId="0" applyFill="1" applyBorder="1" applyAlignment="1">
      <alignment horizontal="center"/>
    </xf>
    <xf numFmtId="0" fontId="0" fillId="5" borderId="4" xfId="0" applyFill="1" applyBorder="1"/>
    <xf numFmtId="0" fontId="0" fillId="5" borderId="71" xfId="0" applyFill="1" applyBorder="1"/>
    <xf numFmtId="0" fontId="0" fillId="0" borderId="75" xfId="0" applyBorder="1"/>
    <xf numFmtId="20" fontId="0" fillId="5" borderId="52" xfId="0" applyNumberFormat="1" applyFill="1" applyBorder="1"/>
    <xf numFmtId="20" fontId="0" fillId="5" borderId="59" xfId="0" applyNumberFormat="1" applyFill="1" applyBorder="1"/>
    <xf numFmtId="177" fontId="0" fillId="6" borderId="52" xfId="0" applyNumberFormat="1" applyFont="1" applyFill="1" applyBorder="1" applyAlignment="1">
      <alignment horizontal="right"/>
    </xf>
    <xf numFmtId="20" fontId="0" fillId="5" borderId="76" xfId="0" applyNumberFormat="1" applyFill="1" applyBorder="1"/>
    <xf numFmtId="20" fontId="0" fillId="5" borderId="77" xfId="0" applyNumberFormat="1" applyFill="1" applyBorder="1"/>
    <xf numFmtId="177" fontId="0" fillId="6" borderId="76" xfId="0" applyNumberFormat="1" applyFont="1" applyFill="1" applyBorder="1" applyAlignment="1">
      <alignment horizontal="right"/>
    </xf>
    <xf numFmtId="0" fontId="31" fillId="0" borderId="0" xfId="0" applyFont="1"/>
    <xf numFmtId="0" fontId="0" fillId="6" borderId="21" xfId="0" applyNumberFormat="1" applyFill="1" applyBorder="1"/>
    <xf numFmtId="0" fontId="0" fillId="6" borderId="10" xfId="0" applyNumberFormat="1" applyFill="1" applyBorder="1"/>
    <xf numFmtId="0" fontId="0" fillId="6" borderId="83" xfId="0" applyNumberFormat="1" applyFill="1" applyBorder="1"/>
    <xf numFmtId="0" fontId="0" fillId="6" borderId="71" xfId="0" applyNumberFormat="1" applyFill="1" applyBorder="1"/>
    <xf numFmtId="20" fontId="0" fillId="5" borderId="85" xfId="0" applyNumberFormat="1" applyFill="1" applyBorder="1"/>
    <xf numFmtId="20" fontId="0" fillId="5" borderId="86" xfId="0" applyNumberFormat="1" applyFill="1" applyBorder="1"/>
    <xf numFmtId="0" fontId="0" fillId="8" borderId="81" xfId="0" applyFill="1" applyBorder="1"/>
    <xf numFmtId="0" fontId="0" fillId="8" borderId="82" xfId="0" applyFill="1" applyBorder="1"/>
    <xf numFmtId="0" fontId="2" fillId="8" borderId="81" xfId="0" applyFont="1" applyFill="1" applyBorder="1"/>
    <xf numFmtId="0" fontId="2" fillId="5" borderId="90" xfId="0" applyFont="1" applyFill="1" applyBorder="1"/>
    <xf numFmtId="0" fontId="0" fillId="6" borderId="89" xfId="0" applyFill="1" applyBorder="1"/>
    <xf numFmtId="0" fontId="0" fillId="8" borderId="85" xfId="0" applyFill="1" applyBorder="1"/>
    <xf numFmtId="0" fontId="0" fillId="8" borderId="86" xfId="0" applyFill="1" applyBorder="1"/>
    <xf numFmtId="0" fontId="2" fillId="8" borderId="84" xfId="0" applyFont="1" applyFill="1" applyBorder="1"/>
    <xf numFmtId="0" fontId="2" fillId="5" borderId="88" xfId="0" applyFont="1" applyFill="1" applyBorder="1"/>
    <xf numFmtId="0" fontId="0" fillId="6" borderId="87" xfId="0" applyFill="1" applyBorder="1"/>
    <xf numFmtId="0" fontId="0" fillId="8" borderId="84" xfId="0" applyFill="1" applyBorder="1"/>
    <xf numFmtId="0" fontId="0" fillId="8" borderId="85" xfId="0" applyNumberFormat="1" applyFill="1" applyBorder="1" applyAlignment="1">
      <alignment horizontal="right"/>
    </xf>
    <xf numFmtId="178" fontId="0" fillId="8" borderId="51" xfId="0" applyNumberFormat="1" applyFill="1" applyBorder="1"/>
    <xf numFmtId="178" fontId="0" fillId="8" borderId="82" xfId="0" applyNumberFormat="1" applyFill="1" applyBorder="1"/>
    <xf numFmtId="178" fontId="0" fillId="8" borderId="85" xfId="0" applyNumberFormat="1" applyFill="1" applyBorder="1"/>
    <xf numFmtId="178" fontId="0" fillId="8" borderId="52" xfId="0" applyNumberFormat="1" applyFill="1" applyBorder="1"/>
    <xf numFmtId="178" fontId="0" fillId="8" borderId="41" xfId="0" applyNumberFormat="1" applyFill="1" applyBorder="1"/>
    <xf numFmtId="178" fontId="0" fillId="8" borderId="43" xfId="0" applyNumberFormat="1" applyFill="1" applyBorder="1"/>
    <xf numFmtId="0" fontId="0" fillId="8" borderId="52" xfId="0" applyNumberFormat="1" applyFill="1" applyBorder="1" applyAlignment="1">
      <alignment horizontal="right"/>
    </xf>
    <xf numFmtId="0" fontId="0" fillId="8" borderId="41" xfId="0" applyNumberFormat="1" applyFill="1" applyBorder="1" applyAlignment="1">
      <alignment horizontal="right"/>
    </xf>
    <xf numFmtId="0" fontId="0" fillId="8" borderId="43" xfId="0" applyNumberFormat="1" applyFill="1" applyBorder="1" applyAlignment="1">
      <alignment horizontal="right"/>
    </xf>
    <xf numFmtId="0" fontId="0" fillId="8" borderId="51" xfId="0" applyNumberFormat="1" applyFill="1" applyBorder="1" applyAlignment="1">
      <alignment horizontal="right"/>
    </xf>
    <xf numFmtId="0" fontId="0" fillId="8" borderId="82" xfId="0" applyNumberFormat="1" applyFill="1" applyBorder="1" applyAlignment="1">
      <alignment horizontal="right"/>
    </xf>
    <xf numFmtId="0" fontId="0" fillId="0" borderId="110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/>
    <xf numFmtId="0" fontId="0" fillId="0" borderId="114" xfId="0" applyBorder="1"/>
    <xf numFmtId="0" fontId="0" fillId="0" borderId="115" xfId="0" applyBorder="1"/>
    <xf numFmtId="0" fontId="0" fillId="0" borderId="116" xfId="0" applyBorder="1"/>
    <xf numFmtId="0" fontId="0" fillId="0" borderId="117" xfId="0" applyBorder="1"/>
    <xf numFmtId="0" fontId="0" fillId="0" borderId="118" xfId="0" applyBorder="1"/>
    <xf numFmtId="0" fontId="28" fillId="0" borderId="0" xfId="0" applyFont="1"/>
    <xf numFmtId="0" fontId="29" fillId="0" borderId="2" xfId="0" applyFont="1" applyBorder="1" applyAlignment="1">
      <alignment horizontal="center" vertical="center"/>
    </xf>
    <xf numFmtId="0" fontId="28" fillId="0" borderId="2" xfId="0" applyFont="1" applyBorder="1"/>
    <xf numFmtId="0" fontId="28" fillId="0" borderId="2" xfId="0" applyFont="1" applyBorder="1" applyAlignment="1">
      <alignment horizontal="center" vertical="center"/>
    </xf>
    <xf numFmtId="0" fontId="32" fillId="0" borderId="2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0" fillId="0" borderId="0" xfId="0" applyAlignment="1">
      <alignment vertical="center" textRotation="90"/>
    </xf>
    <xf numFmtId="0" fontId="30" fillId="0" borderId="0" xfId="0" applyFont="1" applyAlignment="1">
      <alignment horizontal="right"/>
    </xf>
    <xf numFmtId="0" fontId="30" fillId="10" borderId="2" xfId="0" applyFont="1" applyFill="1" applyBorder="1" applyAlignment="1">
      <alignment horizontal="center" vertical="center"/>
    </xf>
    <xf numFmtId="0" fontId="30" fillId="10" borderId="2" xfId="0" applyFont="1" applyFill="1" applyBorder="1" applyAlignment="1">
      <alignment horizontal="center" vertical="center" wrapText="1"/>
    </xf>
    <xf numFmtId="0" fontId="36" fillId="0" borderId="0" xfId="0" applyFont="1"/>
    <xf numFmtId="0" fontId="28" fillId="10" borderId="2" xfId="0" applyFont="1" applyFill="1" applyBorder="1" applyAlignment="1">
      <alignment horizontal="center" vertical="center"/>
    </xf>
    <xf numFmtId="0" fontId="28" fillId="0" borderId="80" xfId="0" applyFont="1" applyBorder="1"/>
    <xf numFmtId="0" fontId="35" fillId="0" borderId="2" xfId="0" applyFont="1" applyBorder="1" applyAlignment="1">
      <alignment vertical="center"/>
    </xf>
    <xf numFmtId="0" fontId="0" fillId="11" borderId="111" xfId="0" applyFill="1" applyBorder="1"/>
    <xf numFmtId="0" fontId="0" fillId="11" borderId="114" xfId="0" applyFill="1" applyBorder="1"/>
    <xf numFmtId="0" fontId="0" fillId="0" borderId="114" xfId="0" applyFill="1" applyBorder="1"/>
    <xf numFmtId="0" fontId="38" fillId="0" borderId="2" xfId="0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/>
    </xf>
    <xf numFmtId="0" fontId="40" fillId="0" borderId="8" xfId="0" applyFont="1" applyBorder="1"/>
    <xf numFmtId="0" fontId="40" fillId="0" borderId="72" xfId="0" applyFont="1" applyBorder="1"/>
    <xf numFmtId="0" fontId="0" fillId="0" borderId="99" xfId="0" applyBorder="1"/>
    <xf numFmtId="0" fontId="0" fillId="0" borderId="95" xfId="0" applyBorder="1"/>
    <xf numFmtId="0" fontId="0" fillId="0" borderId="74" xfId="0" applyBorder="1"/>
    <xf numFmtId="0" fontId="28" fillId="9" borderId="8" xfId="0" applyFont="1" applyFill="1" applyBorder="1" applyAlignment="1">
      <alignment vertical="center"/>
    </xf>
    <xf numFmtId="0" fontId="28" fillId="9" borderId="5" xfId="0" applyFont="1" applyFill="1" applyBorder="1" applyAlignment="1">
      <alignment vertical="center"/>
    </xf>
    <xf numFmtId="0" fontId="42" fillId="0" borderId="8" xfId="0" applyFont="1" applyBorder="1" applyAlignment="1">
      <alignment vertical="center"/>
    </xf>
    <xf numFmtId="0" fontId="12" fillId="0" borderId="2" xfId="0" applyFont="1" applyBorder="1" applyAlignment="1">
      <alignment horizontal="center" vertical="center"/>
    </xf>
    <xf numFmtId="0" fontId="41" fillId="0" borderId="0" xfId="0" applyFont="1"/>
    <xf numFmtId="0" fontId="42" fillId="0" borderId="72" xfId="0" applyFont="1" applyBorder="1" applyAlignment="1">
      <alignment vertical="center"/>
    </xf>
    <xf numFmtId="0" fontId="42" fillId="0" borderId="5" xfId="0" applyFont="1" applyBorder="1" applyAlignment="1">
      <alignment vertical="center"/>
    </xf>
    <xf numFmtId="0" fontId="0" fillId="7" borderId="108" xfId="0" applyFill="1" applyBorder="1" applyAlignment="1">
      <alignment horizontal="center" vertical="center"/>
    </xf>
    <xf numFmtId="0" fontId="0" fillId="7" borderId="103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 wrapText="1"/>
    </xf>
    <xf numFmtId="0" fontId="29" fillId="9" borderId="2" xfId="0" applyFont="1" applyFill="1" applyBorder="1" applyAlignment="1">
      <alignment horizontal="center" vertical="center"/>
    </xf>
    <xf numFmtId="0" fontId="28" fillId="9" borderId="2" xfId="0" applyFont="1" applyFill="1" applyBorder="1"/>
    <xf numFmtId="0" fontId="35" fillId="9" borderId="2" xfId="0" applyFont="1" applyFill="1" applyBorder="1" applyAlignment="1">
      <alignment vertical="center"/>
    </xf>
    <xf numFmtId="0" fontId="28" fillId="9" borderId="2" xfId="0" applyFont="1" applyFill="1" applyBorder="1" applyAlignment="1">
      <alignment horizontal="center" vertical="center"/>
    </xf>
    <xf numFmtId="0" fontId="44" fillId="0" borderId="0" xfId="0" applyFont="1" applyAlignment="1">
      <alignment vertical="top"/>
    </xf>
    <xf numFmtId="0" fontId="45" fillId="9" borderId="2" xfId="0" applyFont="1" applyFill="1" applyBorder="1" applyAlignment="1">
      <alignment horizontal="center" vertical="center"/>
    </xf>
    <xf numFmtId="0" fontId="0" fillId="0" borderId="119" xfId="0" applyFill="1" applyBorder="1" applyAlignment="1"/>
    <xf numFmtId="0" fontId="0" fillId="0" borderId="41" xfId="0" applyFill="1" applyBorder="1" applyAlignment="1">
      <alignment horizontal="center"/>
    </xf>
    <xf numFmtId="0" fontId="0" fillId="0" borderId="41" xfId="0" applyFill="1" applyBorder="1"/>
    <xf numFmtId="0" fontId="0" fillId="0" borderId="51" xfId="0" applyFill="1" applyBorder="1"/>
    <xf numFmtId="0" fontId="21" fillId="0" borderId="51" xfId="0" applyFont="1" applyFill="1" applyBorder="1"/>
    <xf numFmtId="0" fontId="0" fillId="0" borderId="51" xfId="0" applyFill="1" applyBorder="1" applyAlignment="1"/>
    <xf numFmtId="0" fontId="0" fillId="0" borderId="51" xfId="0" applyFill="1" applyBorder="1" applyAlignment="1" applyProtection="1">
      <alignment horizontal="center"/>
    </xf>
    <xf numFmtId="0" fontId="0" fillId="0" borderId="54" xfId="0" applyFill="1" applyBorder="1"/>
    <xf numFmtId="0" fontId="21" fillId="0" borderId="52" xfId="0" applyFont="1" applyFill="1" applyBorder="1"/>
    <xf numFmtId="0" fontId="0" fillId="0" borderId="56" xfId="0" applyFill="1" applyBorder="1"/>
    <xf numFmtId="0" fontId="0" fillId="0" borderId="46" xfId="0" applyFill="1" applyBorder="1"/>
    <xf numFmtId="0" fontId="0" fillId="0" borderId="76" xfId="0" applyFill="1" applyBorder="1" applyAlignment="1">
      <alignment horizontal="center"/>
    </xf>
    <xf numFmtId="0" fontId="0" fillId="0" borderId="78" xfId="0" applyFill="1" applyBorder="1"/>
    <xf numFmtId="0" fontId="0" fillId="0" borderId="76" xfId="0" applyFill="1" applyBorder="1"/>
    <xf numFmtId="0" fontId="21" fillId="0" borderId="76" xfId="0" applyFont="1" applyFill="1" applyBorder="1"/>
    <xf numFmtId="0" fontId="0" fillId="0" borderId="76" xfId="0" applyFill="1" applyBorder="1" applyAlignment="1"/>
    <xf numFmtId="0" fontId="0" fillId="0" borderId="76" xfId="0" applyFill="1" applyBorder="1" applyAlignment="1" applyProtection="1">
      <alignment horizontal="center"/>
    </xf>
    <xf numFmtId="0" fontId="0" fillId="0" borderId="52" xfId="0" applyFill="1" applyBorder="1" applyAlignment="1">
      <alignment horizontal="center"/>
    </xf>
    <xf numFmtId="0" fontId="0" fillId="0" borderId="52" xfId="0" applyFill="1" applyBorder="1"/>
    <xf numFmtId="0" fontId="0" fillId="0" borderId="52" xfId="0" applyFill="1" applyBorder="1" applyAlignment="1"/>
    <xf numFmtId="0" fontId="0" fillId="0" borderId="52" xfId="0" applyFill="1" applyBorder="1" applyAlignment="1" applyProtection="1">
      <alignment horizontal="center"/>
    </xf>
    <xf numFmtId="0" fontId="21" fillId="0" borderId="41" xfId="0" applyFont="1" applyFill="1" applyBorder="1"/>
    <xf numFmtId="0" fontId="0" fillId="0" borderId="41" xfId="0" applyFill="1" applyBorder="1" applyAlignment="1"/>
    <xf numFmtId="0" fontId="0" fillId="0" borderId="41" xfId="0" applyFill="1" applyBorder="1" applyAlignment="1" applyProtection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14" borderId="2" xfId="0" applyFill="1" applyBorder="1" applyAlignment="1">
      <alignment horizontal="center" vertical="center" wrapText="1"/>
    </xf>
    <xf numFmtId="0" fontId="0" fillId="14" borderId="2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10" xfId="0" applyFill="1" applyBorder="1" applyAlignment="1">
      <alignment horizontal="center" vertical="center"/>
    </xf>
    <xf numFmtId="20" fontId="0" fillId="14" borderId="2" xfId="0" applyNumberFormat="1" applyFill="1" applyBorder="1" applyAlignment="1">
      <alignment vertical="center"/>
    </xf>
    <xf numFmtId="20" fontId="0" fillId="14" borderId="2" xfId="0" applyNumberFormat="1" applyFill="1" applyBorder="1" applyAlignment="1">
      <alignment horizontal="center" vertical="center"/>
    </xf>
    <xf numFmtId="20" fontId="0" fillId="14" borderId="8" xfId="0" applyNumberFormat="1" applyFill="1" applyBorder="1" applyAlignment="1">
      <alignment horizontal="center" vertical="center"/>
    </xf>
    <xf numFmtId="20" fontId="0" fillId="5" borderId="51" xfId="0" applyNumberFormat="1" applyFill="1" applyBorder="1"/>
    <xf numFmtId="20" fontId="0" fillId="5" borderId="58" xfId="0" applyNumberFormat="1" applyFill="1" applyBorder="1"/>
    <xf numFmtId="0" fontId="0" fillId="0" borderId="51" xfId="0" applyFill="1" applyBorder="1" applyAlignment="1">
      <alignment horizontal="center"/>
    </xf>
    <xf numFmtId="177" fontId="0" fillId="6" borderId="51" xfId="0" applyNumberFormat="1" applyFont="1" applyFill="1" applyBorder="1" applyAlignment="1">
      <alignment horizontal="right"/>
    </xf>
    <xf numFmtId="20" fontId="0" fillId="5" borderId="121" xfId="0" applyNumberFormat="1" applyFill="1" applyBorder="1"/>
    <xf numFmtId="20" fontId="0" fillId="5" borderId="122" xfId="0" applyNumberFormat="1" applyFill="1" applyBorder="1"/>
    <xf numFmtId="0" fontId="0" fillId="0" borderId="121" xfId="0" applyFill="1" applyBorder="1" applyAlignment="1">
      <alignment horizontal="center"/>
    </xf>
    <xf numFmtId="0" fontId="0" fillId="0" borderId="121" xfId="0" applyFill="1" applyBorder="1"/>
    <xf numFmtId="0" fontId="21" fillId="0" borderId="121" xfId="0" applyFont="1" applyFill="1" applyBorder="1"/>
    <xf numFmtId="0" fontId="0" fillId="0" borderId="121" xfId="0" applyFill="1" applyBorder="1" applyAlignment="1"/>
    <xf numFmtId="0" fontId="0" fillId="0" borderId="121" xfId="0" applyFill="1" applyBorder="1" applyAlignment="1" applyProtection="1">
      <alignment horizontal="center"/>
    </xf>
    <xf numFmtId="0" fontId="0" fillId="0" borderId="123" xfId="0" applyFill="1" applyBorder="1"/>
    <xf numFmtId="177" fontId="0" fillId="6" borderId="121" xfId="0" applyNumberFormat="1" applyFont="1" applyFill="1" applyBorder="1" applyAlignment="1">
      <alignment horizontal="right"/>
    </xf>
    <xf numFmtId="0" fontId="21" fillId="0" borderId="0" xfId="0" applyFont="1" applyFill="1" applyBorder="1"/>
    <xf numFmtId="0" fontId="0" fillId="0" borderId="0" xfId="0" applyFill="1" applyBorder="1" applyAlignment="1" applyProtection="1">
      <alignment horizontal="center"/>
    </xf>
    <xf numFmtId="0" fontId="0" fillId="0" borderId="119" xfId="0" applyFill="1" applyBorder="1"/>
    <xf numFmtId="0" fontId="2" fillId="0" borderId="0" xfId="0" applyFont="1" applyFill="1" applyBorder="1"/>
    <xf numFmtId="177" fontId="0" fillId="0" borderId="0" xfId="0" applyNumberFormat="1" applyFont="1" applyFill="1" applyBorder="1" applyAlignment="1">
      <alignment horizontal="right"/>
    </xf>
    <xf numFmtId="176" fontId="0" fillId="0" borderId="0" xfId="0" applyNumberFormat="1" applyFill="1" applyBorder="1"/>
    <xf numFmtId="0" fontId="2" fillId="0" borderId="0" xfId="0" applyFont="1" applyBorder="1"/>
    <xf numFmtId="0" fontId="0" fillId="15" borderId="51" xfId="0" applyFill="1" applyBorder="1" applyAlignment="1" applyProtection="1">
      <alignment horizontal="center"/>
    </xf>
    <xf numFmtId="0" fontId="0" fillId="15" borderId="41" xfId="0" applyFill="1" applyBorder="1" applyAlignment="1" applyProtection="1">
      <alignment horizontal="center"/>
    </xf>
    <xf numFmtId="0" fontId="0" fillId="15" borderId="121" xfId="0" applyFill="1" applyBorder="1" applyAlignment="1" applyProtection="1">
      <alignment horizontal="center"/>
    </xf>
    <xf numFmtId="0" fontId="21" fillId="15" borderId="61" xfId="0" applyFont="1" applyFill="1" applyBorder="1"/>
    <xf numFmtId="0" fontId="21" fillId="15" borderId="62" xfId="0" applyFont="1" applyFill="1" applyBorder="1"/>
    <xf numFmtId="0" fontId="21" fillId="15" borderId="124" xfId="0" applyFont="1" applyFill="1" applyBorder="1"/>
    <xf numFmtId="0" fontId="21" fillId="15" borderId="63" xfId="0" applyFont="1" applyFill="1" applyBorder="1"/>
    <xf numFmtId="0" fontId="0" fillId="15" borderId="52" xfId="0" applyFill="1" applyBorder="1" applyAlignment="1" applyProtection="1">
      <alignment horizontal="center"/>
    </xf>
    <xf numFmtId="0" fontId="21" fillId="15" borderId="79" xfId="0" applyFont="1" applyFill="1" applyBorder="1"/>
    <xf numFmtId="0" fontId="0" fillId="15" borderId="76" xfId="0" applyFill="1" applyBorder="1" applyAlignment="1" applyProtection="1">
      <alignment horizontal="center"/>
    </xf>
    <xf numFmtId="178" fontId="2" fillId="5" borderId="61" xfId="0" applyNumberFormat="1" applyFont="1" applyFill="1" applyBorder="1"/>
    <xf numFmtId="0" fontId="0" fillId="8" borderId="51" xfId="0" applyNumberFormat="1" applyFill="1" applyBorder="1"/>
    <xf numFmtId="0" fontId="0" fillId="8" borderId="82" xfId="0" applyNumberFormat="1" applyFill="1" applyBorder="1"/>
    <xf numFmtId="0" fontId="0" fillId="8" borderId="85" xfId="0" applyNumberFormat="1" applyFill="1" applyBorder="1"/>
    <xf numFmtId="0" fontId="0" fillId="8" borderId="52" xfId="0" applyNumberFormat="1" applyFill="1" applyBorder="1"/>
    <xf numFmtId="0" fontId="0" fillId="8" borderId="41" xfId="0" applyNumberFormat="1" applyFill="1" applyBorder="1"/>
    <xf numFmtId="0" fontId="0" fillId="8" borderId="43" xfId="0" applyNumberFormat="1" applyFill="1" applyBorder="1"/>
    <xf numFmtId="178" fontId="2" fillId="5" borderId="90" xfId="0" applyNumberFormat="1" applyFont="1" applyFill="1" applyBorder="1"/>
    <xf numFmtId="178" fontId="2" fillId="5" borderId="88" xfId="0" applyNumberFormat="1" applyFont="1" applyFill="1" applyBorder="1"/>
    <xf numFmtId="178" fontId="2" fillId="5" borderId="63" xfId="0" applyNumberFormat="1" applyFont="1" applyFill="1" applyBorder="1"/>
    <xf numFmtId="178" fontId="2" fillId="5" borderId="62" xfId="0" applyNumberFormat="1" applyFont="1" applyFill="1" applyBorder="1"/>
    <xf numFmtId="178" fontId="2" fillId="5" borderId="64" xfId="0" applyNumberFormat="1" applyFont="1" applyFill="1" applyBorder="1"/>
    <xf numFmtId="0" fontId="0" fillId="0" borderId="51" xfId="0" applyFill="1" applyBorder="1" applyAlignment="1" applyProtection="1">
      <alignment horizontal="right"/>
    </xf>
    <xf numFmtId="0" fontId="0" fillId="0" borderId="76" xfId="0" applyFill="1" applyBorder="1" applyAlignment="1" applyProtection="1">
      <alignment horizontal="right"/>
    </xf>
    <xf numFmtId="0" fontId="0" fillId="0" borderId="52" xfId="0" applyFill="1" applyBorder="1" applyAlignment="1" applyProtection="1">
      <alignment horizontal="right"/>
    </xf>
    <xf numFmtId="0" fontId="0" fillId="0" borderId="41" xfId="0" applyFill="1" applyBorder="1" applyAlignment="1" applyProtection="1">
      <alignment horizontal="right"/>
    </xf>
    <xf numFmtId="0" fontId="0" fillId="0" borderId="121" xfId="0" applyFill="1" applyBorder="1" applyAlignment="1" applyProtection="1">
      <alignment horizontal="right"/>
    </xf>
    <xf numFmtId="0" fontId="44" fillId="0" borderId="0" xfId="1" applyFont="1" applyAlignment="1">
      <alignment horizontal="left" vertical="center"/>
    </xf>
    <xf numFmtId="0" fontId="0" fillId="7" borderId="22" xfId="0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7" borderId="2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35" fillId="0" borderId="99" xfId="0" applyFont="1" applyBorder="1" applyAlignment="1">
      <alignment horizontal="center" vertical="center"/>
    </xf>
    <xf numFmtId="0" fontId="35" fillId="0" borderId="95" xfId="0" applyFont="1" applyBorder="1" applyAlignment="1">
      <alignment horizontal="center" vertical="center"/>
    </xf>
    <xf numFmtId="0" fontId="35" fillId="0" borderId="74" xfId="0" applyFont="1" applyBorder="1" applyAlignment="1">
      <alignment horizontal="center" vertical="center"/>
    </xf>
    <xf numFmtId="0" fontId="35" fillId="10" borderId="2" xfId="0" applyFont="1" applyFill="1" applyBorder="1" applyAlignment="1">
      <alignment horizontal="left" vertical="center" wrapText="1"/>
    </xf>
    <xf numFmtId="0" fontId="0" fillId="0" borderId="8" xfId="0" applyBorder="1" applyAlignment="1">
      <alignment horizontal="center"/>
    </xf>
    <xf numFmtId="0" fontId="0" fillId="0" borderId="5" xfId="0" applyBorder="1" applyAlignment="1">
      <alignment horizontal="center"/>
    </xf>
    <xf numFmtId="0" fontId="35" fillId="10" borderId="8" xfId="0" applyFont="1" applyFill="1" applyBorder="1" applyAlignment="1">
      <alignment horizontal="left" vertical="center"/>
    </xf>
    <xf numFmtId="0" fontId="35" fillId="10" borderId="72" xfId="0" applyFont="1" applyFill="1" applyBorder="1" applyAlignment="1">
      <alignment horizontal="left" vertical="center"/>
    </xf>
    <xf numFmtId="0" fontId="35" fillId="10" borderId="5" xfId="0" applyFont="1" applyFill="1" applyBorder="1" applyAlignment="1">
      <alignment horizontal="left" vertical="center"/>
    </xf>
    <xf numFmtId="0" fontId="28" fillId="0" borderId="8" xfId="0" applyFont="1" applyBorder="1" applyAlignment="1">
      <alignment horizontal="center" vertical="center"/>
    </xf>
    <xf numFmtId="0" fontId="28" fillId="0" borderId="72" xfId="0" applyFont="1" applyBorder="1" applyAlignment="1">
      <alignment horizontal="center" vertical="center"/>
    </xf>
    <xf numFmtId="0" fontId="28" fillId="0" borderId="5" xfId="0" applyFont="1" applyBorder="1" applyAlignment="1">
      <alignment horizontal="center" vertical="center"/>
    </xf>
    <xf numFmtId="0" fontId="41" fillId="0" borderId="8" xfId="0" applyFont="1" applyBorder="1" applyAlignment="1">
      <alignment horizontal="center"/>
    </xf>
    <xf numFmtId="0" fontId="41" fillId="0" borderId="5" xfId="0" applyFont="1" applyBorder="1" applyAlignment="1">
      <alignment horizontal="center"/>
    </xf>
    <xf numFmtId="0" fontId="35" fillId="10" borderId="2" xfId="0" applyFont="1" applyFill="1" applyBorder="1" applyAlignment="1">
      <alignment horizontal="left" vertical="center"/>
    </xf>
    <xf numFmtId="0" fontId="30" fillId="10" borderId="8" xfId="0" applyFont="1" applyFill="1" applyBorder="1" applyAlignment="1">
      <alignment horizontal="center" vertical="center"/>
    </xf>
    <xf numFmtId="0" fontId="30" fillId="10" borderId="5" xfId="0" applyFont="1" applyFill="1" applyBorder="1" applyAlignment="1">
      <alignment horizontal="center" vertical="center"/>
    </xf>
    <xf numFmtId="0" fontId="30" fillId="10" borderId="8" xfId="0" applyFont="1" applyFill="1" applyBorder="1" applyAlignment="1">
      <alignment horizontal="center" vertical="center" wrapText="1"/>
    </xf>
    <xf numFmtId="0" fontId="30" fillId="10" borderId="5" xfId="0" applyFont="1" applyFill="1" applyBorder="1" applyAlignment="1">
      <alignment horizontal="center" vertical="center" wrapText="1"/>
    </xf>
    <xf numFmtId="0" fontId="0" fillId="9" borderId="8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28" fillId="0" borderId="8" xfId="0" applyFont="1" applyBorder="1" applyAlignment="1">
      <alignment horizontal="center"/>
    </xf>
    <xf numFmtId="0" fontId="28" fillId="0" borderId="5" xfId="0" applyFont="1" applyBorder="1" applyAlignment="1">
      <alignment horizontal="center"/>
    </xf>
    <xf numFmtId="0" fontId="29" fillId="0" borderId="106" xfId="0" applyFont="1" applyBorder="1" applyAlignment="1">
      <alignment horizontal="center"/>
    </xf>
    <xf numFmtId="0" fontId="35" fillId="13" borderId="8" xfId="0" applyFont="1" applyFill="1" applyBorder="1" applyAlignment="1">
      <alignment horizontal="center" vertical="center"/>
    </xf>
    <xf numFmtId="0" fontId="35" fillId="13" borderId="5" xfId="0" applyFont="1" applyFill="1" applyBorder="1" applyAlignment="1">
      <alignment horizontal="center" vertical="center"/>
    </xf>
    <xf numFmtId="20" fontId="28" fillId="0" borderId="8" xfId="0" applyNumberFormat="1" applyFont="1" applyBorder="1" applyAlignment="1">
      <alignment horizontal="center"/>
    </xf>
    <xf numFmtId="0" fontId="28" fillId="0" borderId="72" xfId="0" applyFont="1" applyBorder="1" applyAlignment="1">
      <alignment horizontal="center"/>
    </xf>
    <xf numFmtId="0" fontId="46" fillId="0" borderId="8" xfId="0" applyFont="1" applyBorder="1" applyAlignment="1">
      <alignment horizontal="center"/>
    </xf>
    <xf numFmtId="0" fontId="46" fillId="0" borderId="72" xfId="0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37" fillId="9" borderId="8" xfId="0" applyFont="1" applyFill="1" applyBorder="1" applyAlignment="1">
      <alignment horizontal="center" vertical="center"/>
    </xf>
    <xf numFmtId="0" fontId="37" fillId="9" borderId="72" xfId="0" applyFont="1" applyFill="1" applyBorder="1" applyAlignment="1">
      <alignment horizontal="center" vertical="center"/>
    </xf>
    <xf numFmtId="0" fontId="37" fillId="9" borderId="5" xfId="0" applyFont="1" applyFill="1" applyBorder="1" applyAlignment="1">
      <alignment horizontal="center" vertical="center"/>
    </xf>
    <xf numFmtId="0" fontId="35" fillId="9" borderId="8" xfId="0" applyFont="1" applyFill="1" applyBorder="1" applyAlignment="1">
      <alignment horizontal="center" vertical="center"/>
    </xf>
    <xf numFmtId="0" fontId="35" fillId="9" borderId="5" xfId="0" applyFont="1" applyFill="1" applyBorder="1" applyAlignment="1">
      <alignment horizontal="center" vertical="center"/>
    </xf>
    <xf numFmtId="179" fontId="32" fillId="0" borderId="8" xfId="0" applyNumberFormat="1" applyFont="1" applyBorder="1" applyAlignment="1">
      <alignment horizontal="center"/>
    </xf>
    <xf numFmtId="179" fontId="32" fillId="0" borderId="72" xfId="0" applyNumberFormat="1" applyFont="1" applyBorder="1" applyAlignment="1">
      <alignment horizontal="center"/>
    </xf>
    <xf numFmtId="179" fontId="32" fillId="0" borderId="5" xfId="0" applyNumberFormat="1" applyFont="1" applyBorder="1" applyAlignment="1">
      <alignment horizontal="center"/>
    </xf>
    <xf numFmtId="0" fontId="28" fillId="12" borderId="8" xfId="0" applyFont="1" applyFill="1" applyBorder="1" applyAlignment="1">
      <alignment horizontal="center" vertical="center"/>
    </xf>
    <xf numFmtId="0" fontId="28" fillId="12" borderId="72" xfId="0" applyFont="1" applyFill="1" applyBorder="1" applyAlignment="1">
      <alignment horizontal="center" vertical="center"/>
    </xf>
    <xf numFmtId="0" fontId="28" fillId="12" borderId="5" xfId="0" applyFont="1" applyFill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32" fillId="0" borderId="8" xfId="0" applyFont="1" applyBorder="1" applyAlignment="1">
      <alignment horizontal="center"/>
    </xf>
    <xf numFmtId="0" fontId="32" fillId="0" borderId="72" xfId="0" applyFont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28" fillId="9" borderId="8" xfId="0" applyFont="1" applyFill="1" applyBorder="1" applyAlignment="1">
      <alignment horizontal="center" vertical="center"/>
    </xf>
    <xf numFmtId="0" fontId="28" fillId="9" borderId="5" xfId="0" applyFont="1" applyFill="1" applyBorder="1" applyAlignment="1">
      <alignment horizontal="center" vertical="center"/>
    </xf>
    <xf numFmtId="0" fontId="32" fillId="0" borderId="8" xfId="0" applyFont="1" applyBorder="1" applyAlignment="1">
      <alignment horizontal="center" shrinkToFit="1"/>
    </xf>
    <xf numFmtId="0" fontId="32" fillId="0" borderId="72" xfId="0" applyFont="1" applyBorder="1" applyAlignment="1">
      <alignment horizontal="center" shrinkToFit="1"/>
    </xf>
    <xf numFmtId="0" fontId="32" fillId="0" borderId="5" xfId="0" applyFont="1" applyBorder="1" applyAlignment="1">
      <alignment horizontal="center" shrinkToFit="1"/>
    </xf>
    <xf numFmtId="180" fontId="28" fillId="0" borderId="8" xfId="0" applyNumberFormat="1" applyFont="1" applyBorder="1" applyAlignment="1">
      <alignment horizontal="center"/>
    </xf>
    <xf numFmtId="180" fontId="28" fillId="0" borderId="72" xfId="0" applyNumberFormat="1" applyFont="1" applyBorder="1" applyAlignment="1">
      <alignment horizontal="center"/>
    </xf>
    <xf numFmtId="180" fontId="28" fillId="0" borderId="5" xfId="0" applyNumberFormat="1" applyFont="1" applyBorder="1" applyAlignment="1">
      <alignment horizontal="center"/>
    </xf>
    <xf numFmtId="0" fontId="10" fillId="7" borderId="39" xfId="1" applyFont="1" applyFill="1" applyBorder="1" applyAlignment="1">
      <alignment horizontal="center" vertical="top" wrapText="1"/>
    </xf>
    <xf numFmtId="0" fontId="10" fillId="7" borderId="102" xfId="1" applyFont="1" applyFill="1" applyBorder="1" applyAlignment="1">
      <alignment horizontal="center" vertical="top" wrapText="1"/>
    </xf>
    <xf numFmtId="0" fontId="11" fillId="7" borderId="103" xfId="1" applyFont="1" applyFill="1" applyBorder="1" applyAlignment="1">
      <alignment horizontal="center" vertical="center" wrapText="1"/>
    </xf>
    <xf numFmtId="0" fontId="11" fillId="7" borderId="104" xfId="1" applyFont="1" applyFill="1" applyBorder="1" applyAlignment="1">
      <alignment horizontal="center" vertical="center" wrapText="1"/>
    </xf>
    <xf numFmtId="0" fontId="12" fillId="0" borderId="3" xfId="1" applyFont="1" applyBorder="1" applyAlignment="1">
      <alignment horizontal="left" vertical="center"/>
    </xf>
    <xf numFmtId="0" fontId="12" fillId="0" borderId="4" xfId="1" applyFont="1" applyBorder="1" applyAlignment="1">
      <alignment horizontal="left" vertical="center"/>
    </xf>
    <xf numFmtId="0" fontId="3" fillId="0" borderId="4" xfId="1" applyFont="1" applyBorder="1" applyAlignment="1">
      <alignment horizontal="left" vertical="center" wrapText="1"/>
    </xf>
    <xf numFmtId="0" fontId="3" fillId="0" borderId="4" xfId="1" applyFont="1" applyBorder="1" applyAlignment="1">
      <alignment horizontal="left" vertical="center"/>
    </xf>
    <xf numFmtId="0" fontId="3" fillId="0" borderId="71" xfId="1" applyFont="1" applyBorder="1" applyAlignment="1">
      <alignment horizontal="left" vertical="center"/>
    </xf>
    <xf numFmtId="0" fontId="12" fillId="0" borderId="1" xfId="1" applyFont="1" applyBorder="1" applyAlignment="1">
      <alignment horizontal="left" vertical="center"/>
    </xf>
    <xf numFmtId="0" fontId="12" fillId="0" borderId="2" xfId="1" applyFont="1" applyBorder="1" applyAlignment="1">
      <alignment horizontal="left" vertical="center"/>
    </xf>
    <xf numFmtId="0" fontId="3" fillId="0" borderId="2" xfId="1" applyFont="1" applyBorder="1" applyAlignment="1">
      <alignment horizontal="left" vertical="center"/>
    </xf>
    <xf numFmtId="0" fontId="3" fillId="0" borderId="10" xfId="1" applyFont="1" applyBorder="1" applyAlignment="1">
      <alignment horizontal="left" vertical="center"/>
    </xf>
    <xf numFmtId="0" fontId="3" fillId="0" borderId="0" xfId="1" applyFont="1" applyAlignment="1">
      <alignment horizontal="left" vertical="center"/>
    </xf>
    <xf numFmtId="0" fontId="19" fillId="0" borderId="0" xfId="1" applyFont="1" applyAlignment="1">
      <alignment horizontal="lef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2" xfId="1" applyFont="1" applyFill="1" applyBorder="1" applyAlignment="1">
      <alignment horizontal="center" vertical="center"/>
    </xf>
    <xf numFmtId="0" fontId="3" fillId="2" borderId="50" xfId="1" applyFont="1" applyFill="1" applyBorder="1" applyAlignment="1">
      <alignment horizontal="center" vertical="center"/>
    </xf>
    <xf numFmtId="0" fontId="12" fillId="0" borderId="98" xfId="1" applyFont="1" applyBorder="1" applyAlignment="1">
      <alignment horizontal="left" vertical="center"/>
    </xf>
    <xf numFmtId="0" fontId="12" fillId="0" borderId="13" xfId="1" applyFont="1" applyBorder="1" applyAlignment="1">
      <alignment horizontal="left" vertical="center"/>
    </xf>
    <xf numFmtId="0" fontId="3" fillId="0" borderId="13" xfId="1" applyFont="1" applyBorder="1" applyAlignment="1">
      <alignment horizontal="left" vertical="center"/>
    </xf>
    <xf numFmtId="0" fontId="3" fillId="0" borderId="91" xfId="1" applyFont="1" applyBorder="1" applyAlignment="1">
      <alignment horizontal="left" vertical="center"/>
    </xf>
    <xf numFmtId="0" fontId="3" fillId="0" borderId="105" xfId="1" applyBorder="1" applyAlignment="1">
      <alignment horizontal="center" vertical="center"/>
    </xf>
    <xf numFmtId="0" fontId="3" fillId="0" borderId="95" xfId="1" applyBorder="1" applyAlignment="1">
      <alignment horizontal="center" vertical="center"/>
    </xf>
    <xf numFmtId="0" fontId="3" fillId="0" borderId="74" xfId="1" applyBorder="1" applyAlignment="1">
      <alignment horizontal="center" vertical="center"/>
    </xf>
    <xf numFmtId="0" fontId="17" fillId="4" borderId="0" xfId="1" applyFont="1" applyFill="1" applyAlignment="1">
      <alignment horizontal="center" vertical="center"/>
    </xf>
    <xf numFmtId="0" fontId="12" fillId="0" borderId="12" xfId="1" applyFont="1" applyBorder="1" applyAlignment="1">
      <alignment horizontal="center" vertical="center"/>
    </xf>
    <xf numFmtId="0" fontId="12" fillId="0" borderId="50" xfId="1" applyFont="1" applyBorder="1" applyAlignment="1">
      <alignment horizontal="center" vertical="center"/>
    </xf>
    <xf numFmtId="0" fontId="12" fillId="0" borderId="73" xfId="1" applyFont="1" applyBorder="1" applyAlignment="1">
      <alignment horizontal="center" vertical="center"/>
    </xf>
    <xf numFmtId="0" fontId="12" fillId="0" borderId="0" xfId="1" applyFont="1" applyAlignment="1">
      <alignment horizontal="left" vertical="center"/>
    </xf>
    <xf numFmtId="0" fontId="12" fillId="0" borderId="8" xfId="1" applyFont="1" applyBorder="1" applyAlignment="1">
      <alignment vertical="top" wrapText="1"/>
    </xf>
    <xf numFmtId="0" fontId="12" fillId="0" borderId="72" xfId="1" applyFont="1" applyBorder="1" applyAlignment="1">
      <alignment vertical="top"/>
    </xf>
    <xf numFmtId="0" fontId="12" fillId="0" borderId="5" xfId="1" applyFont="1" applyBorder="1" applyAlignment="1">
      <alignment vertical="top"/>
    </xf>
    <xf numFmtId="0" fontId="12" fillId="0" borderId="8" xfId="1" applyFont="1" applyBorder="1" applyAlignment="1">
      <alignment horizontal="center" vertical="center"/>
    </xf>
    <xf numFmtId="0" fontId="12" fillId="0" borderId="72" xfId="1" applyFont="1" applyBorder="1" applyAlignment="1">
      <alignment horizontal="center" vertical="center"/>
    </xf>
    <xf numFmtId="0" fontId="12" fillId="0" borderId="5" xfId="1" applyFont="1" applyBorder="1" applyAlignment="1">
      <alignment horizontal="center" vertical="center"/>
    </xf>
    <xf numFmtId="0" fontId="12" fillId="0" borderId="106" xfId="1" applyFont="1" applyBorder="1" applyAlignment="1">
      <alignment horizontal="left" vertical="center"/>
    </xf>
    <xf numFmtId="0" fontId="12" fillId="0" borderId="72" xfId="1" applyFont="1" applyBorder="1" applyAlignment="1">
      <alignment horizontal="left" vertical="center"/>
    </xf>
    <xf numFmtId="0" fontId="12" fillId="0" borderId="92" xfId="1" applyFont="1" applyBorder="1" applyAlignment="1">
      <alignment horizontal="center" vertical="center"/>
    </xf>
    <xf numFmtId="0" fontId="12" fillId="0" borderId="93" xfId="1" applyFont="1" applyBorder="1" applyAlignment="1">
      <alignment horizontal="center" vertical="center"/>
    </xf>
    <xf numFmtId="0" fontId="12" fillId="0" borderId="93" xfId="1" applyFont="1" applyBorder="1" applyAlignment="1">
      <alignment horizontal="left" vertical="center"/>
    </xf>
    <xf numFmtId="0" fontId="12" fillId="0" borderId="94" xfId="1" applyFont="1" applyBorder="1" applyAlignment="1">
      <alignment horizontal="left" vertical="center"/>
    </xf>
    <xf numFmtId="0" fontId="0" fillId="7" borderId="6" xfId="0" applyFill="1" applyBorder="1" applyAlignment="1">
      <alignment horizontal="center" vertical="center" wrapText="1"/>
    </xf>
    <xf numFmtId="0" fontId="0" fillId="7" borderId="109" xfId="0" applyFill="1" applyBorder="1" applyAlignment="1">
      <alignment horizontal="center" vertical="center" wrapText="1"/>
    </xf>
    <xf numFmtId="0" fontId="0" fillId="7" borderId="108" xfId="0" applyFill="1" applyBorder="1" applyAlignment="1">
      <alignment horizontal="center" vertical="center"/>
    </xf>
    <xf numFmtId="0" fontId="0" fillId="7" borderId="103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75" xfId="0" applyFill="1" applyBorder="1" applyAlignment="1">
      <alignment horizontal="center" vertical="center"/>
    </xf>
    <xf numFmtId="0" fontId="0" fillId="14" borderId="96" xfId="0" applyFill="1" applyBorder="1" applyAlignment="1">
      <alignment horizontal="center"/>
    </xf>
    <xf numFmtId="0" fontId="0" fillId="14" borderId="97" xfId="0" applyFill="1" applyBorder="1" applyAlignment="1">
      <alignment horizontal="center"/>
    </xf>
    <xf numFmtId="0" fontId="0" fillId="14" borderId="120" xfId="0" applyFill="1" applyBorder="1" applyAlignment="1">
      <alignment horizontal="center"/>
    </xf>
    <xf numFmtId="0" fontId="0" fillId="7" borderId="100" xfId="0" applyFill="1" applyBorder="1" applyAlignment="1">
      <alignment horizontal="center"/>
    </xf>
    <xf numFmtId="0" fontId="0" fillId="7" borderId="101" xfId="0" applyFill="1" applyBorder="1" applyAlignment="1">
      <alignment horizontal="center"/>
    </xf>
    <xf numFmtId="0" fontId="0" fillId="7" borderId="107" xfId="0" applyFill="1" applyBorder="1" applyAlignment="1">
      <alignment horizontal="center"/>
    </xf>
  </cellXfs>
  <cellStyles count="2">
    <cellStyle name="標準" xfId="0" builtinId="0"/>
    <cellStyle name="標準_2007レスキュー車検" xfId="1" xr:uid="{00000000-0005-0000-0000-000001000000}"/>
  </cellStyles>
  <dxfs count="4"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D$4" lockText="1" noThreeD="1"/>
</file>

<file path=xl/ctrlProps/ctrlProp2.xml><?xml version="1.0" encoding="utf-8"?>
<formControlPr xmlns="http://schemas.microsoft.com/office/spreadsheetml/2009/9/main" objectType="CheckBox" checked="Checked" fmlaLink="$Q$6" lockText="1" noThreeD="1"/>
</file>

<file path=xl/ctrlProps/ctrlProp3.xml><?xml version="1.0" encoding="utf-8"?>
<formControlPr xmlns="http://schemas.microsoft.com/office/spreadsheetml/2009/9/main" objectType="CheckBox" checked="Checked" fmlaLink="$Q$7" lockText="1" noThreeD="1"/>
</file>

<file path=xl/ctrlProps/ctrlProp4.xml><?xml version="1.0" encoding="utf-8"?>
<formControlPr xmlns="http://schemas.microsoft.com/office/spreadsheetml/2009/9/main" objectType="CheckBox" fmlaLink="$Q$8" lockText="1" noThreeD="1"/>
</file>

<file path=xl/ctrlProps/ctrlProp5.xml><?xml version="1.0" encoding="utf-8"?>
<formControlPr xmlns="http://schemas.microsoft.com/office/spreadsheetml/2009/9/main" objectType="CheckBox" fmlaLink="$Q$9" lockText="1" noThreeD="1"/>
</file>

<file path=xl/ctrlProps/ctrlProp6.xml><?xml version="1.0" encoding="utf-8"?>
<formControlPr xmlns="http://schemas.microsoft.com/office/spreadsheetml/2009/9/main" objectType="CheckBox" checked="Checked" fmlaLink="$Q$10" lockText="1" noThreeD="1"/>
</file>

<file path=xl/ctrlProps/ctrlProp7.xml><?xml version="1.0" encoding="utf-8"?>
<formControlPr xmlns="http://schemas.microsoft.com/office/spreadsheetml/2009/9/main" objectType="CheckBox" checked="Checked" fmlaLink="$Q$11" lockText="1" noThreeD="1"/>
</file>

<file path=xl/ctrlProps/ctrlProp8.xml><?xml version="1.0" encoding="utf-8"?>
<formControlPr xmlns="http://schemas.microsoft.com/office/spreadsheetml/2009/9/main" objectType="CheckBox" checked="Checked" fmlaLink="$Q$12" lockText="1" noThreeD="1"/>
</file>

<file path=xl/ctrlProps/ctrlProp9.xml><?xml version="1.0" encoding="utf-8"?>
<formControlPr xmlns="http://schemas.microsoft.com/office/spreadsheetml/2009/9/main" objectType="CheckBox" checked="Checked" fmlaLink="$Q$13" lockText="1" noThreeD="1"/>
</file>

<file path=xl/ctrlProps/ctrlProp10.xml><?xml version="1.0" encoding="utf-8"?>
<formControlPr xmlns="http://schemas.microsoft.com/office/spreadsheetml/2009/9/main" objectType="CheckBox" fmlaLink="$Q$14" lockText="1" noThreeD="1"/>
</file>

<file path=xl/ctrlProps/ctrlProp11.xml><?xml version="1.0" encoding="utf-8"?>
<formControlPr xmlns="http://schemas.microsoft.com/office/spreadsheetml/2009/9/main" objectType="CheckBox" fmlaLink="$Q$15" lockText="1" noThreeD="1"/>
</file>

<file path=xl/ctrlProps/ctrlProp12.xml><?xml version="1.0" encoding="utf-8"?>
<formControlPr xmlns="http://schemas.microsoft.com/office/spreadsheetml/2009/9/main" objectType="CheckBox" fmlaLink="$Q$16" lockText="1" noThreeD="1"/>
</file>

<file path=xl/ctrlProps/ctrlProp13.xml><?xml version="1.0" encoding="utf-8"?>
<formControlPr xmlns="http://schemas.microsoft.com/office/spreadsheetml/2009/9/main" objectType="CheckBox" fmlaLink="$Q$17" lockText="1" noThreeD="1"/>
</file>

<file path=xl/ctrlProps/ctrlProp14.xml><?xml version="1.0" encoding="utf-8"?>
<formControlPr xmlns="http://schemas.microsoft.com/office/spreadsheetml/2009/9/main" objectType="CheckBox" fmlaLink="$Q$18" lockText="1" noThreeD="1"/>
</file>

<file path=xl/ctrlProps/ctrlProp15.xml><?xml version="1.0" encoding="utf-8"?>
<formControlPr xmlns="http://schemas.microsoft.com/office/spreadsheetml/2009/9/main" objectType="CheckBox" fmlaLink="$Q$19" lockText="1" noThreeD="1"/>
</file>

<file path=xl/ctrlProps/ctrlProp16.xml><?xml version="1.0" encoding="utf-8"?>
<formControlPr xmlns="http://schemas.microsoft.com/office/spreadsheetml/2009/9/main" objectType="CheckBox" fmlaLink="$Q$20" lockText="1" noThreeD="1"/>
</file>

<file path=xl/ctrlProps/ctrlProp17.xml><?xml version="1.0" encoding="utf-8"?>
<formControlPr xmlns="http://schemas.microsoft.com/office/spreadsheetml/2009/9/main" objectType="CheckBox" checked="Checked" fmlaLink="$U$6" lockText="1" noThreeD="1"/>
</file>

<file path=xl/ctrlProps/ctrlProp18.xml><?xml version="1.0" encoding="utf-8"?>
<formControlPr xmlns="http://schemas.microsoft.com/office/spreadsheetml/2009/9/main" objectType="CheckBox" fmlaLink="$U$7" lockText="1" noThreeD="1"/>
</file>

<file path=xl/ctrlProps/ctrlProp19.xml><?xml version="1.0" encoding="utf-8"?>
<formControlPr xmlns="http://schemas.microsoft.com/office/spreadsheetml/2009/9/main" objectType="CheckBox" fmlaLink="$V$7" lockText="1" noThreeD="1"/>
</file>

<file path=xl/ctrlProps/ctrlProp20.xml><?xml version="1.0" encoding="utf-8"?>
<formControlPr xmlns="http://schemas.microsoft.com/office/spreadsheetml/2009/9/main" objectType="CheckBox" fmlaLink="$W$7" lockText="1" noThreeD="1"/>
</file>

<file path=xl/ctrlProps/ctrlProp21.xml><?xml version="1.0" encoding="utf-8"?>
<formControlPr xmlns="http://schemas.microsoft.com/office/spreadsheetml/2009/9/main" objectType="CheckBox" fmlaLink="$X$7" lockText="1" noThreeD="1"/>
</file>

<file path=xl/ctrlProps/ctrlProp22.xml><?xml version="1.0" encoding="utf-8"?>
<formControlPr xmlns="http://schemas.microsoft.com/office/spreadsheetml/2009/9/main" objectType="CheckBox" checked="Checked" fmlaLink="$Y$7" lockText="1" noThreeD="1"/>
</file>

<file path=xl/ctrlProps/ctrlProp23.xml><?xml version="1.0" encoding="utf-8"?>
<formControlPr xmlns="http://schemas.microsoft.com/office/spreadsheetml/2009/9/main" objectType="CheckBox" fmlaLink="$Y$6" lockText="1" noThreeD="1"/>
</file>

<file path=xl/ctrlProps/ctrlProp24.xml><?xml version="1.0" encoding="utf-8"?>
<formControlPr xmlns="http://schemas.microsoft.com/office/spreadsheetml/2009/9/main" objectType="CheckBox" fmlaLink="$Y$8" lockText="1" noThreeD="1"/>
</file>

<file path=xl/ctrlProps/ctrlProp25.xml><?xml version="1.0" encoding="utf-8"?>
<formControlPr xmlns="http://schemas.microsoft.com/office/spreadsheetml/2009/9/main" objectType="CheckBox" fmlaLink="$X$8" lockText="1" noThreeD="1"/>
</file>

<file path=xl/ctrlProps/ctrlProp26.xml><?xml version="1.0" encoding="utf-8"?>
<formControlPr xmlns="http://schemas.microsoft.com/office/spreadsheetml/2009/9/main" objectType="CheckBox" fmlaLink="$W$8" lockText="1" noThreeD="1"/>
</file>

<file path=xl/ctrlProps/ctrlProp27.xml><?xml version="1.0" encoding="utf-8"?>
<formControlPr xmlns="http://schemas.microsoft.com/office/spreadsheetml/2009/9/main" objectType="CheckBox" checked="Checked" fmlaLink="$V$8" lockText="1" noThreeD="1"/>
</file>

<file path=xl/ctrlProps/ctrlProp28.xml><?xml version="1.0" encoding="utf-8"?>
<formControlPr xmlns="http://schemas.microsoft.com/office/spreadsheetml/2009/9/main" objectType="CheckBox" fmlaLink="$U$8" lockText="1" noThreeD="1"/>
</file>

<file path=xl/ctrlProps/ctrlProp29.xml><?xml version="1.0" encoding="utf-8"?>
<formControlPr xmlns="http://schemas.microsoft.com/office/spreadsheetml/2009/9/main" objectType="CheckBox" fmlaLink="$U$9" lockText="1" noThreeD="1"/>
</file>

<file path=xl/ctrlProps/ctrlProp30.xml><?xml version="1.0" encoding="utf-8"?>
<formControlPr xmlns="http://schemas.microsoft.com/office/spreadsheetml/2009/9/main" objectType="CheckBox" fmlaLink="$V$9" lockText="1" noThreeD="1"/>
</file>

<file path=xl/ctrlProps/ctrlProp31.xml><?xml version="1.0" encoding="utf-8"?>
<formControlPr xmlns="http://schemas.microsoft.com/office/spreadsheetml/2009/9/main" objectType="CheckBox" fmlaLink="$W$9" lockText="1" noThreeD="1"/>
</file>

<file path=xl/ctrlProps/ctrlProp32.xml><?xml version="1.0" encoding="utf-8"?>
<formControlPr xmlns="http://schemas.microsoft.com/office/spreadsheetml/2009/9/main" objectType="CheckBox" fmlaLink="$X$9" lockText="1" noThreeD="1"/>
</file>

<file path=xl/ctrlProps/ctrlProp33.xml><?xml version="1.0" encoding="utf-8"?>
<formControlPr xmlns="http://schemas.microsoft.com/office/spreadsheetml/2009/9/main" objectType="CheckBox" checked="Checked" fmlaLink="$Y$9" lockText="1" noThreeD="1"/>
</file>

<file path=xl/ctrlProps/ctrlProp34.xml><?xml version="1.0" encoding="utf-8"?>
<formControlPr xmlns="http://schemas.microsoft.com/office/spreadsheetml/2009/9/main" objectType="CheckBox" fmlaLink="$V$15" lockText="1" noThreeD="1"/>
</file>

<file path=xl/ctrlProps/ctrlProp35.xml><?xml version="1.0" encoding="utf-8"?>
<formControlPr xmlns="http://schemas.microsoft.com/office/spreadsheetml/2009/9/main" objectType="CheckBox" fmlaLink="$V$11" lockText="1" noThreeD="1"/>
</file>

<file path=xl/ctrlProps/ctrlProp36.xml><?xml version="1.0" encoding="utf-8"?>
<formControlPr xmlns="http://schemas.microsoft.com/office/spreadsheetml/2009/9/main" objectType="CheckBox" fmlaLink="$W$11" lockText="1" noThreeD="1"/>
</file>

<file path=xl/ctrlProps/ctrlProp37.xml><?xml version="1.0" encoding="utf-8"?>
<formControlPr xmlns="http://schemas.microsoft.com/office/spreadsheetml/2009/9/main" objectType="CheckBox" fmlaLink="$X$11" lockText="1" noThreeD="1"/>
</file>

<file path=xl/ctrlProps/ctrlProp38.xml><?xml version="1.0" encoding="utf-8"?>
<formControlPr xmlns="http://schemas.microsoft.com/office/spreadsheetml/2009/9/main" objectType="CheckBox" fmlaLink="$Y$11" lockText="1" noThreeD="1"/>
</file>

<file path=xl/ctrlProps/ctrlProp39.xml><?xml version="1.0" encoding="utf-8"?>
<formControlPr xmlns="http://schemas.microsoft.com/office/spreadsheetml/2009/9/main" objectType="CheckBox" fmlaLink="$V$12" lockText="1" noThreeD="1"/>
</file>

<file path=xl/ctrlProps/ctrlProp40.xml><?xml version="1.0" encoding="utf-8"?>
<formControlPr xmlns="http://schemas.microsoft.com/office/spreadsheetml/2009/9/main" objectType="CheckBox" fmlaLink="$V$13" lockText="1" noThreeD="1"/>
</file>

<file path=xl/ctrlProps/ctrlProp41.xml><?xml version="1.0" encoding="utf-8"?>
<formControlPr xmlns="http://schemas.microsoft.com/office/spreadsheetml/2009/9/main" objectType="CheckBox" fmlaLink="$W$13" lockText="1" noThreeD="1"/>
</file>

<file path=xl/ctrlProps/ctrlProp42.xml><?xml version="1.0" encoding="utf-8"?>
<formControlPr xmlns="http://schemas.microsoft.com/office/spreadsheetml/2009/9/main" objectType="CheckBox" fmlaLink="$W$12" lockText="1" noThreeD="1"/>
</file>

<file path=xl/ctrlProps/ctrlProp43.xml><?xml version="1.0" encoding="utf-8"?>
<formControlPr xmlns="http://schemas.microsoft.com/office/spreadsheetml/2009/9/main" objectType="CheckBox" fmlaLink="$X$12" lockText="1" noThreeD="1"/>
</file>

<file path=xl/ctrlProps/ctrlProp44.xml><?xml version="1.0" encoding="utf-8"?>
<formControlPr xmlns="http://schemas.microsoft.com/office/spreadsheetml/2009/9/main" objectType="CheckBox" fmlaLink="$Y$12" lockText="1" noThreeD="1"/>
</file>

<file path=xl/ctrlProps/ctrlProp45.xml><?xml version="1.0" encoding="utf-8"?>
<formControlPr xmlns="http://schemas.microsoft.com/office/spreadsheetml/2009/9/main" objectType="CheckBox" fmlaLink="$Y$13" lockText="1" noThreeD="1"/>
</file>

<file path=xl/ctrlProps/ctrlProp46.xml><?xml version="1.0" encoding="utf-8"?>
<formControlPr xmlns="http://schemas.microsoft.com/office/spreadsheetml/2009/9/main" objectType="CheckBox" fmlaLink="$X$13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CheckBox" fmlaLink="$D$4" lockText="1" noThreeD="1"/>
</file>

<file path=xl/ctrlProps/ctrlProp50.xml><?xml version="1.0" encoding="utf-8"?>
<formControlPr xmlns="http://schemas.microsoft.com/office/spreadsheetml/2009/9/main" objectType="CheckBox" checked="Checked" fmlaLink="$F$4" lockText="1" noThreeD="1"/>
</file>

<file path=xl/ctrlProps/ctrlProp51.xml><?xml version="1.0" encoding="utf-8"?>
<formControlPr xmlns="http://schemas.microsoft.com/office/spreadsheetml/2009/9/main" objectType="CheckBox" fmlaLink="$Q$6" lockText="1" noThreeD="1"/>
</file>

<file path=xl/ctrlProps/ctrlProp52.xml><?xml version="1.0" encoding="utf-8"?>
<formControlPr xmlns="http://schemas.microsoft.com/office/spreadsheetml/2009/9/main" objectType="CheckBox" fmlaLink="$Q$7" lockText="1" noThreeD="1"/>
</file>

<file path=xl/ctrlProps/ctrlProp53.xml><?xml version="1.0" encoding="utf-8"?>
<formControlPr xmlns="http://schemas.microsoft.com/office/spreadsheetml/2009/9/main" objectType="CheckBox" fmlaLink="$Q$8" lockText="1" noThreeD="1"/>
</file>

<file path=xl/ctrlProps/ctrlProp54.xml><?xml version="1.0" encoding="utf-8"?>
<formControlPr xmlns="http://schemas.microsoft.com/office/spreadsheetml/2009/9/main" objectType="CheckBox" checked="Checked" fmlaLink="$Q$9" lockText="1" noThreeD="1"/>
</file>

<file path=xl/ctrlProps/ctrlProp55.xml><?xml version="1.0" encoding="utf-8"?>
<formControlPr xmlns="http://schemas.microsoft.com/office/spreadsheetml/2009/9/main" objectType="CheckBox" fmlaLink="$Q$10" lockText="1" noThreeD="1"/>
</file>

<file path=xl/ctrlProps/ctrlProp56.xml><?xml version="1.0" encoding="utf-8"?>
<formControlPr xmlns="http://schemas.microsoft.com/office/spreadsheetml/2009/9/main" objectType="CheckBox" fmlaLink="$Q$11" lockText="1" noThreeD="1"/>
</file>

<file path=xl/ctrlProps/ctrlProp57.xml><?xml version="1.0" encoding="utf-8"?>
<formControlPr xmlns="http://schemas.microsoft.com/office/spreadsheetml/2009/9/main" objectType="CheckBox" fmlaLink="$Q$12" lockText="1" noThreeD="1"/>
</file>

<file path=xl/ctrlProps/ctrlProp58.xml><?xml version="1.0" encoding="utf-8"?>
<formControlPr xmlns="http://schemas.microsoft.com/office/spreadsheetml/2009/9/main" objectType="CheckBox" checked="Checked" fmlaLink="$Q$13" lockText="1" noThreeD="1"/>
</file>

<file path=xl/ctrlProps/ctrlProp59.xml><?xml version="1.0" encoding="utf-8"?>
<formControlPr xmlns="http://schemas.microsoft.com/office/spreadsheetml/2009/9/main" objectType="CheckBox" checked="Checked" fmlaLink="$Q$14" lockText="1" noThreeD="1"/>
</file>

<file path=xl/ctrlProps/ctrlProp60.xml><?xml version="1.0" encoding="utf-8"?>
<formControlPr xmlns="http://schemas.microsoft.com/office/spreadsheetml/2009/9/main" objectType="CheckBox" fmlaLink="$Q$15" lockText="1" noThreeD="1"/>
</file>

<file path=xl/ctrlProps/ctrlProp61.xml><?xml version="1.0" encoding="utf-8"?>
<formControlPr xmlns="http://schemas.microsoft.com/office/spreadsheetml/2009/9/main" objectType="CheckBox" fmlaLink="$Q$16" lockText="1" noThreeD="1"/>
</file>

<file path=xl/ctrlProps/ctrlProp62.xml><?xml version="1.0" encoding="utf-8"?>
<formControlPr xmlns="http://schemas.microsoft.com/office/spreadsheetml/2009/9/main" objectType="CheckBox" fmlaLink="$Q$17" lockText="1" noThreeD="1"/>
</file>

<file path=xl/ctrlProps/ctrlProp63.xml><?xml version="1.0" encoding="utf-8"?>
<formControlPr xmlns="http://schemas.microsoft.com/office/spreadsheetml/2009/9/main" objectType="CheckBox" fmlaLink="$Q$18" lockText="1" noThreeD="1"/>
</file>

<file path=xl/ctrlProps/ctrlProp64.xml><?xml version="1.0" encoding="utf-8"?>
<formControlPr xmlns="http://schemas.microsoft.com/office/spreadsheetml/2009/9/main" objectType="CheckBox" fmlaLink="$Q$19" lockText="1" noThreeD="1"/>
</file>

<file path=xl/ctrlProps/ctrlProp65.xml><?xml version="1.0" encoding="utf-8"?>
<formControlPr xmlns="http://schemas.microsoft.com/office/spreadsheetml/2009/9/main" objectType="CheckBox" fmlaLink="$Q$20" lockText="1" noThreeD="1"/>
</file>

<file path=xl/ctrlProps/ctrlProp66.xml><?xml version="1.0" encoding="utf-8"?>
<formControlPr xmlns="http://schemas.microsoft.com/office/spreadsheetml/2009/9/main" objectType="CheckBox" checked="Checked" fmlaLink="$U$6" lockText="1" noThreeD="1"/>
</file>

<file path=xl/ctrlProps/ctrlProp67.xml><?xml version="1.0" encoding="utf-8"?>
<formControlPr xmlns="http://schemas.microsoft.com/office/spreadsheetml/2009/9/main" objectType="CheckBox" fmlaLink="$U$7" lockText="1" noThreeD="1"/>
</file>

<file path=xl/ctrlProps/ctrlProp68.xml><?xml version="1.0" encoding="utf-8"?>
<formControlPr xmlns="http://schemas.microsoft.com/office/spreadsheetml/2009/9/main" objectType="CheckBox" fmlaLink="$V$7" lockText="1" noThreeD="1"/>
</file>

<file path=xl/ctrlProps/ctrlProp69.xml><?xml version="1.0" encoding="utf-8"?>
<formControlPr xmlns="http://schemas.microsoft.com/office/spreadsheetml/2009/9/main" objectType="CheckBox" fmlaLink="$W$7" lockText="1" noThreeD="1"/>
</file>

<file path=xl/ctrlProps/ctrlProp70.xml><?xml version="1.0" encoding="utf-8"?>
<formControlPr xmlns="http://schemas.microsoft.com/office/spreadsheetml/2009/9/main" objectType="CheckBox" fmlaLink="$X$7" lockText="1" noThreeD="1"/>
</file>

<file path=xl/ctrlProps/ctrlProp71.xml><?xml version="1.0" encoding="utf-8"?>
<formControlPr xmlns="http://schemas.microsoft.com/office/spreadsheetml/2009/9/main" objectType="CheckBox" checked="Checked" fmlaLink="$Y$7" lockText="1" noThreeD="1"/>
</file>

<file path=xl/ctrlProps/ctrlProp72.xml><?xml version="1.0" encoding="utf-8"?>
<formControlPr xmlns="http://schemas.microsoft.com/office/spreadsheetml/2009/9/main" objectType="CheckBox" fmlaLink="$Y$6" lockText="1" noThreeD="1"/>
</file>

<file path=xl/ctrlProps/ctrlProp73.xml><?xml version="1.0" encoding="utf-8"?>
<formControlPr xmlns="http://schemas.microsoft.com/office/spreadsheetml/2009/9/main" objectType="CheckBox" checked="Checked" fmlaLink="$Y$8" lockText="1" noThreeD="1"/>
</file>

<file path=xl/ctrlProps/ctrlProp74.xml><?xml version="1.0" encoding="utf-8"?>
<formControlPr xmlns="http://schemas.microsoft.com/office/spreadsheetml/2009/9/main" objectType="CheckBox" fmlaLink="$X$8" lockText="1" noThreeD="1"/>
</file>

<file path=xl/ctrlProps/ctrlProp75.xml><?xml version="1.0" encoding="utf-8"?>
<formControlPr xmlns="http://schemas.microsoft.com/office/spreadsheetml/2009/9/main" objectType="CheckBox" fmlaLink="$W$8" lockText="1" noThreeD="1"/>
</file>

<file path=xl/ctrlProps/ctrlProp76.xml><?xml version="1.0" encoding="utf-8"?>
<formControlPr xmlns="http://schemas.microsoft.com/office/spreadsheetml/2009/9/main" objectType="CheckBox" fmlaLink="$V$8" lockText="1" noThreeD="1"/>
</file>

<file path=xl/ctrlProps/ctrlProp77.xml><?xml version="1.0" encoding="utf-8"?>
<formControlPr xmlns="http://schemas.microsoft.com/office/spreadsheetml/2009/9/main" objectType="CheckBox" fmlaLink="$U$8" lockText="1" noThreeD="1"/>
</file>

<file path=xl/ctrlProps/ctrlProp78.xml><?xml version="1.0" encoding="utf-8"?>
<formControlPr xmlns="http://schemas.microsoft.com/office/spreadsheetml/2009/9/main" objectType="CheckBox" fmlaLink="$U$9" lockText="1" noThreeD="1"/>
</file>

<file path=xl/ctrlProps/ctrlProp79.xml><?xml version="1.0" encoding="utf-8"?>
<formControlPr xmlns="http://schemas.microsoft.com/office/spreadsheetml/2009/9/main" objectType="CheckBox" fmlaLink="$V$9" lockText="1" noThreeD="1"/>
</file>

<file path=xl/ctrlProps/ctrlProp80.xml><?xml version="1.0" encoding="utf-8"?>
<formControlPr xmlns="http://schemas.microsoft.com/office/spreadsheetml/2009/9/main" objectType="CheckBox" fmlaLink="$W$9" lockText="1" noThreeD="1"/>
</file>

<file path=xl/ctrlProps/ctrlProp81.xml><?xml version="1.0" encoding="utf-8"?>
<formControlPr xmlns="http://schemas.microsoft.com/office/spreadsheetml/2009/9/main" objectType="CheckBox" fmlaLink="$X$9" lockText="1" noThreeD="1"/>
</file>

<file path=xl/ctrlProps/ctrlProp82.xml><?xml version="1.0" encoding="utf-8"?>
<formControlPr xmlns="http://schemas.microsoft.com/office/spreadsheetml/2009/9/main" objectType="CheckBox" checked="Checked" fmlaLink="$Y$9" lockText="1" noThreeD="1"/>
</file>

<file path=xl/ctrlProps/ctrlProp83.xml><?xml version="1.0" encoding="utf-8"?>
<formControlPr xmlns="http://schemas.microsoft.com/office/spreadsheetml/2009/9/main" objectType="CheckBox" fmlaLink="$V$15" lockText="1" noThreeD="1"/>
</file>

<file path=xl/ctrlProps/ctrlProp84.xml><?xml version="1.0" encoding="utf-8"?>
<formControlPr xmlns="http://schemas.microsoft.com/office/spreadsheetml/2009/9/main" objectType="CheckBox" fmlaLink="$V$11" lockText="1" noThreeD="1"/>
</file>

<file path=xl/ctrlProps/ctrlProp85.xml><?xml version="1.0" encoding="utf-8"?>
<formControlPr xmlns="http://schemas.microsoft.com/office/spreadsheetml/2009/9/main" objectType="CheckBox" fmlaLink="$W$11" lockText="1" noThreeD="1"/>
</file>

<file path=xl/ctrlProps/ctrlProp86.xml><?xml version="1.0" encoding="utf-8"?>
<formControlPr xmlns="http://schemas.microsoft.com/office/spreadsheetml/2009/9/main" objectType="CheckBox" fmlaLink="$X$11" lockText="1" noThreeD="1"/>
</file>

<file path=xl/ctrlProps/ctrlProp87.xml><?xml version="1.0" encoding="utf-8"?>
<formControlPr xmlns="http://schemas.microsoft.com/office/spreadsheetml/2009/9/main" objectType="CheckBox" fmlaLink="$Y$11" lockText="1" noThreeD="1"/>
</file>

<file path=xl/ctrlProps/ctrlProp88.xml><?xml version="1.0" encoding="utf-8"?>
<formControlPr xmlns="http://schemas.microsoft.com/office/spreadsheetml/2009/9/main" objectType="CheckBox" fmlaLink="$V$12" lockText="1" noThreeD="1"/>
</file>

<file path=xl/ctrlProps/ctrlProp89.xml><?xml version="1.0" encoding="utf-8"?>
<formControlPr xmlns="http://schemas.microsoft.com/office/spreadsheetml/2009/9/main" objectType="CheckBox" fmlaLink="$V$13" lockText="1" noThreeD="1"/>
</file>

<file path=xl/ctrlProps/ctrlProp90.xml><?xml version="1.0" encoding="utf-8"?>
<formControlPr xmlns="http://schemas.microsoft.com/office/spreadsheetml/2009/9/main" objectType="CheckBox" fmlaLink="$W$13" lockText="1" noThreeD="1"/>
</file>

<file path=xl/ctrlProps/ctrlProp91.xml><?xml version="1.0" encoding="utf-8"?>
<formControlPr xmlns="http://schemas.microsoft.com/office/spreadsheetml/2009/9/main" objectType="CheckBox" fmlaLink="$W$12" lockText="1" noThreeD="1"/>
</file>

<file path=xl/ctrlProps/ctrlProp92.xml><?xml version="1.0" encoding="utf-8"?>
<formControlPr xmlns="http://schemas.microsoft.com/office/spreadsheetml/2009/9/main" objectType="CheckBox" fmlaLink="$X$12" lockText="1" noThreeD="1"/>
</file>

<file path=xl/ctrlProps/ctrlProp93.xml><?xml version="1.0" encoding="utf-8"?>
<formControlPr xmlns="http://schemas.microsoft.com/office/spreadsheetml/2009/9/main" objectType="CheckBox" fmlaLink="$Y$12" lockText="1" noThreeD="1"/>
</file>

<file path=xl/ctrlProps/ctrlProp94.xml><?xml version="1.0" encoding="utf-8"?>
<formControlPr xmlns="http://schemas.microsoft.com/office/spreadsheetml/2009/9/main" objectType="CheckBox" fmlaLink="$Y$13" lockText="1" noThreeD="1"/>
</file>

<file path=xl/ctrlProps/ctrlProp95.xml><?xml version="1.0" encoding="utf-8"?>
<formControlPr xmlns="http://schemas.microsoft.com/office/spreadsheetml/2009/9/main" objectType="CheckBox" fmlaLink="$X$13" lockText="1" noThreeD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14</xdr:row>
      <xdr:rowOff>473159</xdr:rowOff>
    </xdr:from>
    <xdr:to>
      <xdr:col>4</xdr:col>
      <xdr:colOff>475200</xdr:colOff>
      <xdr:row>16</xdr:row>
      <xdr:rowOff>0</xdr:rowOff>
    </xdr:to>
    <xdr:grpSp>
      <xdr:nvGrpSpPr>
        <xdr:cNvPr id="287" name="グループ化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/>
      </xdr:nvGrpSpPr>
      <xdr:grpSpPr>
        <a:xfrm>
          <a:off x="1743075" y="6159584"/>
          <a:ext cx="475200" cy="479341"/>
          <a:chOff x="800357" y="3547257"/>
          <a:chExt cx="472329" cy="472328"/>
        </a:xfrm>
      </xdr:grpSpPr>
      <xdr:sp macro="" textlink="">
        <xdr:nvSpPr>
          <xdr:cNvPr id="288" name="正方形/長方形 287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SpPr/>
        </xdr:nvSpPr>
        <xdr:spPr>
          <a:xfrm>
            <a:off x="800357" y="3547257"/>
            <a:ext cx="472329" cy="472328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cxnSp macro="">
        <xdr:nvCxnSpPr>
          <xdr:cNvPr id="289" name="直線コネクタ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CxnSpPr>
            <a:stCxn id="288" idx="0"/>
            <a:endCxn id="288" idx="2"/>
          </xdr:cNvCxnSpPr>
        </xdr:nvCxnSpPr>
        <xdr:spPr>
          <a:xfrm>
            <a:off x="1036522" y="3547257"/>
            <a:ext cx="0" cy="472328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5</xdr:col>
      <xdr:colOff>65555</xdr:colOff>
      <xdr:row>21</xdr:row>
      <xdr:rowOff>108179</xdr:rowOff>
    </xdr:from>
    <xdr:to>
      <xdr:col>6</xdr:col>
      <xdr:colOff>64505</xdr:colOff>
      <xdr:row>23</xdr:row>
      <xdr:rowOff>11879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284880" y="8937854"/>
          <a:ext cx="475200" cy="4752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twoCellAnchor editAs="oneCell">
    <xdr:from>
      <xdr:col>7</xdr:col>
      <xdr:colOff>166136</xdr:colOff>
      <xdr:row>24</xdr:row>
      <xdr:rowOff>129217</xdr:rowOff>
    </xdr:from>
    <xdr:to>
      <xdr:col>8</xdr:col>
      <xdr:colOff>165086</xdr:colOff>
      <xdr:row>26</xdr:row>
      <xdr:rowOff>32917</xdr:rowOff>
    </xdr:to>
    <xdr:grpSp>
      <xdr:nvGrpSpPr>
        <xdr:cNvPr id="3" name="グループ化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3337961" y="9816142"/>
          <a:ext cx="475200" cy="475200"/>
          <a:chOff x="3363223" y="9654218"/>
          <a:chExt cx="470867" cy="475008"/>
        </a:xfrm>
      </xdr:grpSpPr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3363223" y="9654218"/>
            <a:ext cx="470867" cy="475008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cxnSp macro="">
        <xdr:nvCxnSpPr>
          <xdr:cNvPr id="5" name="直線コネクタ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>
            <a:stCxn id="4" idx="3"/>
            <a:endCxn id="4" idx="1"/>
          </xdr:cNvCxnSpPr>
        </xdr:nvCxnSpPr>
        <xdr:spPr>
          <a:xfrm flipH="1">
            <a:off x="3363223" y="9891722"/>
            <a:ext cx="470867" cy="0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11</xdr:col>
      <xdr:colOff>113784</xdr:colOff>
      <xdr:row>24</xdr:row>
      <xdr:rowOff>98274</xdr:rowOff>
    </xdr:from>
    <xdr:to>
      <xdr:col>12</xdr:col>
      <xdr:colOff>273155</xdr:colOff>
      <xdr:row>26</xdr:row>
      <xdr:rowOff>1974</xdr:rowOff>
    </xdr:to>
    <xdr:grpSp>
      <xdr:nvGrpSpPr>
        <xdr:cNvPr id="6" name="グループ化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5028684" y="9785199"/>
          <a:ext cx="473696" cy="475200"/>
          <a:chOff x="5041624" y="9569359"/>
          <a:chExt cx="468523" cy="470319"/>
        </a:xfrm>
      </xdr:grpSpPr>
      <xdr:sp macro="" textlink="">
        <xdr:nvSpPr>
          <xdr:cNvPr id="7" name="正方形/長方形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5041624" y="9569359"/>
            <a:ext cx="468523" cy="470319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cxnSp macro="">
        <xdr:nvCxnSpPr>
          <xdr:cNvPr id="8" name="直線コネクタ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CxnSpPr>
            <a:stCxn id="7" idx="0"/>
            <a:endCxn id="7" idx="2"/>
          </xdr:cNvCxnSpPr>
        </xdr:nvCxnSpPr>
        <xdr:spPr>
          <a:xfrm>
            <a:off x="5275886" y="9569359"/>
            <a:ext cx="0" cy="470319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" name="直線コネクタ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>
            <a:stCxn id="7" idx="1"/>
            <a:endCxn id="7" idx="3"/>
          </xdr:cNvCxnSpPr>
        </xdr:nvCxnSpPr>
        <xdr:spPr>
          <a:xfrm>
            <a:off x="5041624" y="9804519"/>
            <a:ext cx="468523" cy="0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6</xdr:col>
      <xdr:colOff>41897</xdr:colOff>
      <xdr:row>25</xdr:row>
      <xdr:rowOff>280741</xdr:rowOff>
    </xdr:from>
    <xdr:to>
      <xdr:col>7</xdr:col>
      <xdr:colOff>40847</xdr:colOff>
      <xdr:row>27</xdr:row>
      <xdr:rowOff>184441</xdr:rowOff>
    </xdr:to>
    <xdr:grpSp>
      <xdr:nvGrpSpPr>
        <xdr:cNvPr id="10" name="グループ化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2737472" y="10253416"/>
          <a:ext cx="475200" cy="475200"/>
          <a:chOff x="2592941" y="9637652"/>
          <a:chExt cx="470867" cy="475008"/>
        </a:xfrm>
      </xdr:grpSpPr>
      <xdr:sp macro="" textlink="">
        <xdr:nvSpPr>
          <xdr:cNvPr id="11" name="正方形/長方形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2592941" y="9637652"/>
            <a:ext cx="470867" cy="475008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cxnSp macro="">
        <xdr:nvCxnSpPr>
          <xdr:cNvPr id="12" name="直線コネクタ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CxnSpPr>
            <a:stCxn id="11" idx="0"/>
            <a:endCxn id="11" idx="2"/>
          </xdr:cNvCxnSpPr>
        </xdr:nvCxnSpPr>
        <xdr:spPr>
          <a:xfrm>
            <a:off x="2828375" y="9637652"/>
            <a:ext cx="0" cy="475008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7</xdr:col>
      <xdr:colOff>98985</xdr:colOff>
      <xdr:row>21</xdr:row>
      <xdr:rowOff>261500</xdr:rowOff>
    </xdr:from>
    <xdr:to>
      <xdr:col>8</xdr:col>
      <xdr:colOff>97935</xdr:colOff>
      <xdr:row>23</xdr:row>
      <xdr:rowOff>165200</xdr:rowOff>
    </xdr:to>
    <xdr:grpSp>
      <xdr:nvGrpSpPr>
        <xdr:cNvPr id="20" name="グループ化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3270810" y="9091175"/>
          <a:ext cx="475200" cy="475200"/>
          <a:chOff x="5041624" y="9569359"/>
          <a:chExt cx="468523" cy="470319"/>
        </a:xfrm>
      </xdr:grpSpPr>
      <xdr:sp macro="" textlink="">
        <xdr:nvSpPr>
          <xdr:cNvPr id="21" name="正方形/長方形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>
            <a:off x="5041624" y="9569359"/>
            <a:ext cx="468523" cy="470319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cxnSp macro="">
        <xdr:nvCxnSpPr>
          <xdr:cNvPr id="22" name="直線コネクタ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CxnSpPr>
            <a:stCxn id="21" idx="0"/>
            <a:endCxn id="21" idx="2"/>
          </xdr:cNvCxnSpPr>
        </xdr:nvCxnSpPr>
        <xdr:spPr>
          <a:xfrm>
            <a:off x="5275886" y="9569359"/>
            <a:ext cx="0" cy="470319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" name="直線コネクタ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>
            <a:stCxn id="21" idx="1"/>
          </xdr:cNvCxnSpPr>
        </xdr:nvCxnSpPr>
        <xdr:spPr>
          <a:xfrm>
            <a:off x="5041624" y="9804519"/>
            <a:ext cx="245650" cy="839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3574</xdr:colOff>
      <xdr:row>13</xdr:row>
      <xdr:rowOff>1774</xdr:rowOff>
    </xdr:from>
    <xdr:to>
      <xdr:col>3</xdr:col>
      <xdr:colOff>2523</xdr:colOff>
      <xdr:row>14</xdr:row>
      <xdr:rowOff>725</xdr:rowOff>
    </xdr:to>
    <xdr:grpSp>
      <xdr:nvGrpSpPr>
        <xdr:cNvPr id="24" name="グループ化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94149" y="5211949"/>
          <a:ext cx="475199" cy="475201"/>
          <a:chOff x="811563" y="5441051"/>
          <a:chExt cx="466726" cy="472328"/>
        </a:xfrm>
      </xdr:grpSpPr>
      <xdr:sp macro="" textlink="">
        <xdr:nvSpPr>
          <xdr:cNvPr id="25" name="正方形/長方形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811563" y="5441051"/>
            <a:ext cx="466726" cy="472328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cxnSp macro="">
        <xdr:nvCxnSpPr>
          <xdr:cNvPr id="26" name="直線コネクタ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CxnSpPr>
            <a:stCxn id="25" idx="0"/>
            <a:endCxn id="25" idx="2"/>
          </xdr:cNvCxnSpPr>
        </xdr:nvCxnSpPr>
        <xdr:spPr>
          <a:xfrm>
            <a:off x="1044926" y="5441051"/>
            <a:ext cx="0" cy="472328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 fLocksWithSheet="0"/>
  </xdr:twoCellAnchor>
  <xdr:twoCellAnchor>
    <xdr:from>
      <xdr:col>2</xdr:col>
      <xdr:colOff>0</xdr:colOff>
      <xdr:row>11</xdr:row>
      <xdr:rowOff>1051</xdr:rowOff>
    </xdr:from>
    <xdr:to>
      <xdr:col>3</xdr:col>
      <xdr:colOff>3092</xdr:colOff>
      <xdr:row>12</xdr:row>
      <xdr:rowOff>0</xdr:rowOff>
    </xdr:to>
    <xdr:grpSp>
      <xdr:nvGrpSpPr>
        <xdr:cNvPr id="27" name="グループ化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pSpPr/>
      </xdr:nvGrpSpPr>
      <xdr:grpSpPr>
        <a:xfrm>
          <a:off x="790575" y="4258726"/>
          <a:ext cx="479342" cy="475199"/>
          <a:chOff x="794754" y="4488551"/>
          <a:chExt cx="466726" cy="472328"/>
        </a:xfrm>
      </xdr:grpSpPr>
      <xdr:sp macro="" textlink="">
        <xdr:nvSpPr>
          <xdr:cNvPr id="28" name="正方形/長方形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SpPr/>
        </xdr:nvSpPr>
        <xdr:spPr>
          <a:xfrm>
            <a:off x="794754" y="4488551"/>
            <a:ext cx="466726" cy="472328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cxnSp macro="">
        <xdr:nvCxnSpPr>
          <xdr:cNvPr id="29" name="直線コネクタ 28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CxnSpPr>
            <a:stCxn id="28" idx="0"/>
            <a:endCxn id="28" idx="2"/>
          </xdr:cNvCxnSpPr>
        </xdr:nvCxnSpPr>
        <xdr:spPr>
          <a:xfrm>
            <a:off x="1028117" y="4488551"/>
            <a:ext cx="0" cy="472328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1050</xdr:colOff>
      <xdr:row>9</xdr:row>
      <xdr:rowOff>0</xdr:rowOff>
    </xdr:from>
    <xdr:to>
      <xdr:col>3</xdr:col>
      <xdr:colOff>0</xdr:colOff>
      <xdr:row>10</xdr:row>
      <xdr:rowOff>3091</xdr:rowOff>
    </xdr:to>
    <xdr:grpSp>
      <xdr:nvGrpSpPr>
        <xdr:cNvPr id="30" name="グループ化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pSpPr/>
      </xdr:nvGrpSpPr>
      <xdr:grpSpPr>
        <a:xfrm>
          <a:off x="791625" y="3305175"/>
          <a:ext cx="475200" cy="479341"/>
          <a:chOff x="800357" y="3547257"/>
          <a:chExt cx="472329" cy="472328"/>
        </a:xfrm>
      </xdr:grpSpPr>
      <xdr:sp macro="" textlink="">
        <xdr:nvSpPr>
          <xdr:cNvPr id="31" name="正方形/長方形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SpPr/>
        </xdr:nvSpPr>
        <xdr:spPr>
          <a:xfrm>
            <a:off x="800357" y="3547257"/>
            <a:ext cx="472329" cy="472328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cxnSp macro="">
        <xdr:nvCxnSpPr>
          <xdr:cNvPr id="32" name="直線コネクタ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CxnSpPr>
            <a:stCxn id="31" idx="0"/>
            <a:endCxn id="31" idx="2"/>
          </xdr:cNvCxnSpPr>
        </xdr:nvCxnSpPr>
        <xdr:spPr>
          <a:xfrm>
            <a:off x="1036522" y="3547257"/>
            <a:ext cx="0" cy="472328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1050</xdr:colOff>
      <xdr:row>9</xdr:row>
      <xdr:rowOff>0</xdr:rowOff>
    </xdr:from>
    <xdr:to>
      <xdr:col>4</xdr:col>
      <xdr:colOff>0</xdr:colOff>
      <xdr:row>10</xdr:row>
      <xdr:rowOff>3091</xdr:rowOff>
    </xdr:to>
    <xdr:grpSp>
      <xdr:nvGrpSpPr>
        <xdr:cNvPr id="33" name="グループ化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pSpPr/>
      </xdr:nvGrpSpPr>
      <xdr:grpSpPr>
        <a:xfrm>
          <a:off x="1267875" y="3305175"/>
          <a:ext cx="475200" cy="479341"/>
          <a:chOff x="1344903" y="3628868"/>
          <a:chExt cx="462920" cy="462803"/>
        </a:xfrm>
      </xdr:grpSpPr>
      <xdr:sp macro="" textlink="">
        <xdr:nvSpPr>
          <xdr:cNvPr id="34" name="正方形/長方形 33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SpPr/>
        </xdr:nvSpPr>
        <xdr:spPr>
          <a:xfrm rot="10800000">
            <a:off x="1344903" y="3628868"/>
            <a:ext cx="462920" cy="462803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cxnSp macro="">
        <xdr:nvCxnSpPr>
          <xdr:cNvPr id="35" name="直線コネクタ 34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CxnSpPr>
            <a:stCxn id="34" idx="0"/>
            <a:endCxn id="34" idx="2"/>
          </xdr:cNvCxnSpPr>
        </xdr:nvCxnSpPr>
        <xdr:spPr>
          <a:xfrm rot="10800000">
            <a:off x="1576363" y="3628868"/>
            <a:ext cx="0" cy="462803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" name="直線コネクタ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>
            <a:stCxn id="34" idx="1"/>
          </xdr:cNvCxnSpPr>
        </xdr:nvCxnSpPr>
        <xdr:spPr>
          <a:xfrm rot="10800000">
            <a:off x="1565111" y="3859443"/>
            <a:ext cx="242712" cy="826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316</xdr:colOff>
      <xdr:row>10</xdr:row>
      <xdr:rowOff>2971</xdr:rowOff>
    </xdr:from>
    <xdr:to>
      <xdr:col>3</xdr:col>
      <xdr:colOff>475516</xdr:colOff>
      <xdr:row>11</xdr:row>
      <xdr:rowOff>1921</xdr:rowOff>
    </xdr:to>
    <xdr:grpSp>
      <xdr:nvGrpSpPr>
        <xdr:cNvPr id="37" name="グループ化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267141" y="3784396"/>
          <a:ext cx="475200" cy="475200"/>
          <a:chOff x="1248593" y="4079537"/>
          <a:chExt cx="466726" cy="472328"/>
        </a:xfrm>
      </xdr:grpSpPr>
      <xdr:sp macro="" textlink="">
        <xdr:nvSpPr>
          <xdr:cNvPr id="38" name="正方形/長方形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/>
        </xdr:nvSpPr>
        <xdr:spPr>
          <a:xfrm>
            <a:off x="1248593" y="4079537"/>
            <a:ext cx="466726" cy="472328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cxnSp macro="">
        <xdr:nvCxnSpPr>
          <xdr:cNvPr id="39" name="直線コネクタ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>
            <a:stCxn id="38" idx="0"/>
            <a:endCxn id="38" idx="2"/>
          </xdr:cNvCxnSpPr>
        </xdr:nvCxnSpPr>
        <xdr:spPr>
          <a:xfrm>
            <a:off x="1481956" y="4079537"/>
            <a:ext cx="0" cy="472328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1591</xdr:colOff>
      <xdr:row>11</xdr:row>
      <xdr:rowOff>1051</xdr:rowOff>
    </xdr:from>
    <xdr:to>
      <xdr:col>5</xdr:col>
      <xdr:colOff>0</xdr:colOff>
      <xdr:row>12</xdr:row>
      <xdr:rowOff>0</xdr:rowOff>
    </xdr:to>
    <xdr:grpSp>
      <xdr:nvGrpSpPr>
        <xdr:cNvPr id="40" name="グループ化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pSpPr/>
      </xdr:nvGrpSpPr>
      <xdr:grpSpPr>
        <a:xfrm>
          <a:off x="1744666" y="4258726"/>
          <a:ext cx="474659" cy="475199"/>
          <a:chOff x="1765037" y="4493910"/>
          <a:chExt cx="457202" cy="472328"/>
        </a:xfrm>
      </xdr:grpSpPr>
      <xdr:sp macro="" textlink="">
        <xdr:nvSpPr>
          <xdr:cNvPr id="41" name="正方形/長方形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SpPr/>
        </xdr:nvSpPr>
        <xdr:spPr>
          <a:xfrm>
            <a:off x="1765037" y="4493910"/>
            <a:ext cx="457202" cy="472328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cxnSp macro="">
        <xdr:nvCxnSpPr>
          <xdr:cNvPr id="42" name="直線コネクタ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>
            <a:stCxn id="41" idx="3"/>
            <a:endCxn id="41" idx="1"/>
          </xdr:cNvCxnSpPr>
        </xdr:nvCxnSpPr>
        <xdr:spPr>
          <a:xfrm flipH="1">
            <a:off x="1765037" y="4730074"/>
            <a:ext cx="457202" cy="0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3092</xdr:colOff>
      <xdr:row>8</xdr:row>
      <xdr:rowOff>475200</xdr:rowOff>
    </xdr:to>
    <xdr:grpSp>
      <xdr:nvGrpSpPr>
        <xdr:cNvPr id="43" name="グループ化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GrpSpPr/>
      </xdr:nvGrpSpPr>
      <xdr:grpSpPr>
        <a:xfrm>
          <a:off x="2219325" y="2828925"/>
          <a:ext cx="479342" cy="475200"/>
          <a:chOff x="2212299" y="3042993"/>
          <a:chExt cx="466727" cy="472328"/>
        </a:xfrm>
      </xdr:grpSpPr>
      <xdr:sp macro="" textlink="">
        <xdr:nvSpPr>
          <xdr:cNvPr id="44" name="正方形/長方形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SpPr/>
        </xdr:nvSpPr>
        <xdr:spPr>
          <a:xfrm>
            <a:off x="2212299" y="3042993"/>
            <a:ext cx="466727" cy="472328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cxnSp macro="">
        <xdr:nvCxnSpPr>
          <xdr:cNvPr id="45" name="直線コネクタ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>
            <a:stCxn id="44" idx="0"/>
            <a:endCxn id="44" idx="2"/>
          </xdr:cNvCxnSpPr>
        </xdr:nvCxnSpPr>
        <xdr:spPr>
          <a:xfrm>
            <a:off x="2445663" y="3042993"/>
            <a:ext cx="0" cy="472328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3</xdr:col>
      <xdr:colOff>463793</xdr:colOff>
      <xdr:row>24</xdr:row>
      <xdr:rowOff>124558</xdr:rowOff>
    </xdr:from>
    <xdr:to>
      <xdr:col>4</xdr:col>
      <xdr:colOff>462743</xdr:colOff>
      <xdr:row>26</xdr:row>
      <xdr:rowOff>28258</xdr:rowOff>
    </xdr:to>
    <xdr:grpSp>
      <xdr:nvGrpSpPr>
        <xdr:cNvPr id="46" name="グループ化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GrpSpPr/>
      </xdr:nvGrpSpPr>
      <xdr:grpSpPr>
        <a:xfrm>
          <a:off x="1730618" y="9811483"/>
          <a:ext cx="475200" cy="475200"/>
          <a:chOff x="1732123" y="9554308"/>
          <a:chExt cx="466725" cy="472007"/>
        </a:xfrm>
      </xdr:grpSpPr>
      <xdr:sp macro="" textlink="">
        <xdr:nvSpPr>
          <xdr:cNvPr id="47" name="正方形/長方形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SpPr/>
        </xdr:nvSpPr>
        <xdr:spPr>
          <a:xfrm>
            <a:off x="1732123" y="9554308"/>
            <a:ext cx="466725" cy="46672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sp macro="" textlink="">
        <xdr:nvSpPr>
          <xdr:cNvPr id="48" name="フリーフォーム: 図形 47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SpPr/>
        </xdr:nvSpPr>
        <xdr:spPr>
          <a:xfrm>
            <a:off x="1744579" y="9790696"/>
            <a:ext cx="225592" cy="235619"/>
          </a:xfrm>
          <a:custGeom>
            <a:avLst/>
            <a:gdLst>
              <a:gd name="connsiteX0" fmla="*/ 0 w 249986"/>
              <a:gd name="connsiteY0" fmla="*/ 0 h 250658"/>
              <a:gd name="connsiteX1" fmla="*/ 115303 w 249986"/>
              <a:gd name="connsiteY1" fmla="*/ 15039 h 250658"/>
              <a:gd name="connsiteX2" fmla="*/ 200526 w 249986"/>
              <a:gd name="connsiteY2" fmla="*/ 75197 h 250658"/>
              <a:gd name="connsiteX3" fmla="*/ 245645 w 249986"/>
              <a:gd name="connsiteY3" fmla="*/ 195513 h 250658"/>
              <a:gd name="connsiteX4" fmla="*/ 245645 w 249986"/>
              <a:gd name="connsiteY4" fmla="*/ 250658 h 2506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9986" h="250658">
                <a:moveTo>
                  <a:pt x="0" y="0"/>
                </a:moveTo>
                <a:cubicBezTo>
                  <a:pt x="40941" y="1253"/>
                  <a:pt x="81882" y="2506"/>
                  <a:pt x="115303" y="15039"/>
                </a:cubicBezTo>
                <a:cubicBezTo>
                  <a:pt x="148724" y="27572"/>
                  <a:pt x="178802" y="45118"/>
                  <a:pt x="200526" y="75197"/>
                </a:cubicBezTo>
                <a:cubicBezTo>
                  <a:pt x="222250" y="105276"/>
                  <a:pt x="238125" y="166270"/>
                  <a:pt x="245645" y="195513"/>
                </a:cubicBezTo>
                <a:cubicBezTo>
                  <a:pt x="253165" y="224756"/>
                  <a:pt x="249405" y="237707"/>
                  <a:pt x="245645" y="250658"/>
                </a:cubicBezTo>
              </a:path>
            </a:pathLst>
          </a:cu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3</xdr:col>
      <xdr:colOff>2582</xdr:colOff>
      <xdr:row>13</xdr:row>
      <xdr:rowOff>3371</xdr:rowOff>
    </xdr:from>
    <xdr:to>
      <xdr:col>4</xdr:col>
      <xdr:colOff>1533</xdr:colOff>
      <xdr:row>14</xdr:row>
      <xdr:rowOff>2321</xdr:rowOff>
    </xdr:to>
    <xdr:grpSp>
      <xdr:nvGrpSpPr>
        <xdr:cNvPr id="64" name="グループ化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GrpSpPr/>
      </xdr:nvGrpSpPr>
      <xdr:grpSpPr>
        <a:xfrm rot="10800000">
          <a:off x="1269407" y="5213546"/>
          <a:ext cx="475201" cy="475200"/>
          <a:chOff x="3637122" y="6385992"/>
          <a:chExt cx="475200" cy="475200"/>
        </a:xfrm>
      </xdr:grpSpPr>
      <xdr:sp macro="" textlink="">
        <xdr:nvSpPr>
          <xdr:cNvPr id="65" name="正方形/長方形 64">
            <a:extLst>
              <a:ext uri="{FF2B5EF4-FFF2-40B4-BE49-F238E27FC236}">
                <a16:creationId xmlns:a16="http://schemas.microsoft.com/office/drawing/2014/main" id="{00000000-0008-0000-0200-000041000000}"/>
              </a:ext>
            </a:extLst>
          </xdr:cNvPr>
          <xdr:cNvSpPr/>
        </xdr:nvSpPr>
        <xdr:spPr>
          <a:xfrm rot="5400000">
            <a:off x="3639781" y="6388651"/>
            <a:ext cx="475200" cy="469882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sp macro="" textlink="">
        <xdr:nvSpPr>
          <xdr:cNvPr id="66" name="フリーフォーム: 図形 65">
            <a:extLst>
              <a:ext uri="{FF2B5EF4-FFF2-40B4-BE49-F238E27FC236}">
                <a16:creationId xmlns:a16="http://schemas.microsoft.com/office/drawing/2014/main" id="{00000000-0008-0000-0200-000042000000}"/>
              </a:ext>
            </a:extLst>
          </xdr:cNvPr>
          <xdr:cNvSpPr/>
        </xdr:nvSpPr>
        <xdr:spPr>
          <a:xfrm rot="5400000">
            <a:off x="3640884" y="6394912"/>
            <a:ext cx="229688" cy="237213"/>
          </a:xfrm>
          <a:custGeom>
            <a:avLst/>
            <a:gdLst>
              <a:gd name="connsiteX0" fmla="*/ 0 w 249986"/>
              <a:gd name="connsiteY0" fmla="*/ 0 h 250658"/>
              <a:gd name="connsiteX1" fmla="*/ 115303 w 249986"/>
              <a:gd name="connsiteY1" fmla="*/ 15039 h 250658"/>
              <a:gd name="connsiteX2" fmla="*/ 200526 w 249986"/>
              <a:gd name="connsiteY2" fmla="*/ 75197 h 250658"/>
              <a:gd name="connsiteX3" fmla="*/ 245645 w 249986"/>
              <a:gd name="connsiteY3" fmla="*/ 195513 h 250658"/>
              <a:gd name="connsiteX4" fmla="*/ 245645 w 249986"/>
              <a:gd name="connsiteY4" fmla="*/ 250658 h 2506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9986" h="250658">
                <a:moveTo>
                  <a:pt x="0" y="0"/>
                </a:moveTo>
                <a:cubicBezTo>
                  <a:pt x="40941" y="1253"/>
                  <a:pt x="81882" y="2506"/>
                  <a:pt x="115303" y="15039"/>
                </a:cubicBezTo>
                <a:cubicBezTo>
                  <a:pt x="148724" y="27572"/>
                  <a:pt x="178802" y="45118"/>
                  <a:pt x="200526" y="75197"/>
                </a:cubicBezTo>
                <a:cubicBezTo>
                  <a:pt x="222250" y="105276"/>
                  <a:pt x="238125" y="166270"/>
                  <a:pt x="245645" y="195513"/>
                </a:cubicBezTo>
                <a:cubicBezTo>
                  <a:pt x="253165" y="224756"/>
                  <a:pt x="249405" y="237707"/>
                  <a:pt x="245645" y="250658"/>
                </a:cubicBezTo>
              </a:path>
            </a:pathLst>
          </a:cu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 fLocksWithSheet="0"/>
  </xdr:twoCellAnchor>
  <xdr:twoCellAnchor>
    <xdr:from>
      <xdr:col>3</xdr:col>
      <xdr:colOff>1709</xdr:colOff>
      <xdr:row>14</xdr:row>
      <xdr:rowOff>102</xdr:rowOff>
    </xdr:from>
    <xdr:to>
      <xdr:col>4</xdr:col>
      <xdr:colOff>661</xdr:colOff>
      <xdr:row>14</xdr:row>
      <xdr:rowOff>475302</xdr:rowOff>
    </xdr:to>
    <xdr:grpSp>
      <xdr:nvGrpSpPr>
        <xdr:cNvPr id="67" name="グループ化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GrpSpPr/>
      </xdr:nvGrpSpPr>
      <xdr:grpSpPr>
        <a:xfrm>
          <a:off x="1268534" y="5686527"/>
          <a:ext cx="475202" cy="475200"/>
          <a:chOff x="3637122" y="6385992"/>
          <a:chExt cx="475200" cy="475200"/>
        </a:xfrm>
      </xdr:grpSpPr>
      <xdr:sp macro="" textlink="">
        <xdr:nvSpPr>
          <xdr:cNvPr id="68" name="正方形/長方形 67">
            <a:extLst>
              <a:ext uri="{FF2B5EF4-FFF2-40B4-BE49-F238E27FC236}">
                <a16:creationId xmlns:a16="http://schemas.microsoft.com/office/drawing/2014/main" id="{00000000-0008-0000-0200-000044000000}"/>
              </a:ext>
            </a:extLst>
          </xdr:cNvPr>
          <xdr:cNvSpPr/>
        </xdr:nvSpPr>
        <xdr:spPr>
          <a:xfrm rot="5400000">
            <a:off x="3639781" y="6388651"/>
            <a:ext cx="475200" cy="469882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sp macro="" textlink="">
        <xdr:nvSpPr>
          <xdr:cNvPr id="69" name="フリーフォーム: 図形 68">
            <a:extLst>
              <a:ext uri="{FF2B5EF4-FFF2-40B4-BE49-F238E27FC236}">
                <a16:creationId xmlns:a16="http://schemas.microsoft.com/office/drawing/2014/main" id="{00000000-0008-0000-0200-000045000000}"/>
              </a:ext>
            </a:extLst>
          </xdr:cNvPr>
          <xdr:cNvSpPr/>
        </xdr:nvSpPr>
        <xdr:spPr>
          <a:xfrm rot="5400000">
            <a:off x="3640884" y="6394912"/>
            <a:ext cx="229688" cy="237213"/>
          </a:xfrm>
          <a:custGeom>
            <a:avLst/>
            <a:gdLst>
              <a:gd name="connsiteX0" fmla="*/ 0 w 249986"/>
              <a:gd name="connsiteY0" fmla="*/ 0 h 250658"/>
              <a:gd name="connsiteX1" fmla="*/ 115303 w 249986"/>
              <a:gd name="connsiteY1" fmla="*/ 15039 h 250658"/>
              <a:gd name="connsiteX2" fmla="*/ 200526 w 249986"/>
              <a:gd name="connsiteY2" fmla="*/ 75197 h 250658"/>
              <a:gd name="connsiteX3" fmla="*/ 245645 w 249986"/>
              <a:gd name="connsiteY3" fmla="*/ 195513 h 250658"/>
              <a:gd name="connsiteX4" fmla="*/ 245645 w 249986"/>
              <a:gd name="connsiteY4" fmla="*/ 250658 h 2506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9986" h="250658">
                <a:moveTo>
                  <a:pt x="0" y="0"/>
                </a:moveTo>
                <a:cubicBezTo>
                  <a:pt x="40941" y="1253"/>
                  <a:pt x="81882" y="2506"/>
                  <a:pt x="115303" y="15039"/>
                </a:cubicBezTo>
                <a:cubicBezTo>
                  <a:pt x="148724" y="27572"/>
                  <a:pt x="178802" y="45118"/>
                  <a:pt x="200526" y="75197"/>
                </a:cubicBezTo>
                <a:cubicBezTo>
                  <a:pt x="222250" y="105276"/>
                  <a:pt x="238125" y="166270"/>
                  <a:pt x="245645" y="195513"/>
                </a:cubicBezTo>
                <a:cubicBezTo>
                  <a:pt x="253165" y="224756"/>
                  <a:pt x="249405" y="237707"/>
                  <a:pt x="245645" y="250658"/>
                </a:cubicBezTo>
              </a:path>
            </a:pathLst>
          </a:cu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 fLocksWithSheet="0"/>
  </xdr:twoCellAnchor>
  <xdr:twoCellAnchor>
    <xdr:from>
      <xdr:col>2</xdr:col>
      <xdr:colOff>10866</xdr:colOff>
      <xdr:row>13</xdr:row>
      <xdr:rowOff>475480</xdr:rowOff>
    </xdr:from>
    <xdr:to>
      <xdr:col>3</xdr:col>
      <xdr:colOff>9816</xdr:colOff>
      <xdr:row>14</xdr:row>
      <xdr:rowOff>474432</xdr:rowOff>
    </xdr:to>
    <xdr:grpSp>
      <xdr:nvGrpSpPr>
        <xdr:cNvPr id="70" name="グループ化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/>
      </xdr:nvGrpSpPr>
      <xdr:grpSpPr>
        <a:xfrm rot="5400000">
          <a:off x="801440" y="5685656"/>
          <a:ext cx="475202" cy="475200"/>
          <a:chOff x="3637122" y="6385992"/>
          <a:chExt cx="475200" cy="475200"/>
        </a:xfrm>
      </xdr:grpSpPr>
      <xdr:sp macro="" textlink="">
        <xdr:nvSpPr>
          <xdr:cNvPr id="71" name="正方形/長方形 7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SpPr/>
        </xdr:nvSpPr>
        <xdr:spPr>
          <a:xfrm rot="5400000">
            <a:off x="3639781" y="6388651"/>
            <a:ext cx="475200" cy="469882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sp macro="" textlink="">
        <xdr:nvSpPr>
          <xdr:cNvPr id="72" name="フリーフォーム: 図形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/>
        </xdr:nvSpPr>
        <xdr:spPr>
          <a:xfrm rot="5400000">
            <a:off x="3640884" y="6394912"/>
            <a:ext cx="229688" cy="237213"/>
          </a:xfrm>
          <a:custGeom>
            <a:avLst/>
            <a:gdLst>
              <a:gd name="connsiteX0" fmla="*/ 0 w 249986"/>
              <a:gd name="connsiteY0" fmla="*/ 0 h 250658"/>
              <a:gd name="connsiteX1" fmla="*/ 115303 w 249986"/>
              <a:gd name="connsiteY1" fmla="*/ 15039 h 250658"/>
              <a:gd name="connsiteX2" fmla="*/ 200526 w 249986"/>
              <a:gd name="connsiteY2" fmla="*/ 75197 h 250658"/>
              <a:gd name="connsiteX3" fmla="*/ 245645 w 249986"/>
              <a:gd name="connsiteY3" fmla="*/ 195513 h 250658"/>
              <a:gd name="connsiteX4" fmla="*/ 245645 w 249986"/>
              <a:gd name="connsiteY4" fmla="*/ 250658 h 2506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9986" h="250658">
                <a:moveTo>
                  <a:pt x="0" y="0"/>
                </a:moveTo>
                <a:cubicBezTo>
                  <a:pt x="40941" y="1253"/>
                  <a:pt x="81882" y="2506"/>
                  <a:pt x="115303" y="15039"/>
                </a:cubicBezTo>
                <a:cubicBezTo>
                  <a:pt x="148724" y="27572"/>
                  <a:pt x="178802" y="45118"/>
                  <a:pt x="200526" y="75197"/>
                </a:cubicBezTo>
                <a:cubicBezTo>
                  <a:pt x="222250" y="105276"/>
                  <a:pt x="238125" y="166270"/>
                  <a:pt x="245645" y="195513"/>
                </a:cubicBezTo>
                <a:cubicBezTo>
                  <a:pt x="253165" y="224756"/>
                  <a:pt x="249405" y="237707"/>
                  <a:pt x="245645" y="250658"/>
                </a:cubicBezTo>
              </a:path>
            </a:pathLst>
          </a:cu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 fLocksWithSheet="0"/>
  </xdr:twoCellAnchor>
  <xdr:twoCellAnchor>
    <xdr:from>
      <xdr:col>3</xdr:col>
      <xdr:colOff>1050</xdr:colOff>
      <xdr:row>11</xdr:row>
      <xdr:rowOff>0</xdr:rowOff>
    </xdr:from>
    <xdr:to>
      <xdr:col>4</xdr:col>
      <xdr:colOff>0</xdr:colOff>
      <xdr:row>12</xdr:row>
      <xdr:rowOff>3093</xdr:rowOff>
    </xdr:to>
    <xdr:grpSp>
      <xdr:nvGrpSpPr>
        <xdr:cNvPr id="73" name="グループ化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GrpSpPr/>
      </xdr:nvGrpSpPr>
      <xdr:grpSpPr>
        <a:xfrm rot="5400000">
          <a:off x="1265803" y="4259747"/>
          <a:ext cx="479343" cy="475200"/>
          <a:chOff x="3637122" y="6385992"/>
          <a:chExt cx="475200" cy="475200"/>
        </a:xfrm>
      </xdr:grpSpPr>
      <xdr:sp macro="" textlink="">
        <xdr:nvSpPr>
          <xdr:cNvPr id="74" name="正方形/長方形 73">
            <a:extLst>
              <a:ext uri="{FF2B5EF4-FFF2-40B4-BE49-F238E27FC236}">
                <a16:creationId xmlns:a16="http://schemas.microsoft.com/office/drawing/2014/main" id="{00000000-0008-0000-0200-00004A000000}"/>
              </a:ext>
            </a:extLst>
          </xdr:cNvPr>
          <xdr:cNvSpPr/>
        </xdr:nvSpPr>
        <xdr:spPr>
          <a:xfrm rot="5400000">
            <a:off x="3639781" y="6388651"/>
            <a:ext cx="475200" cy="469882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sp macro="" textlink="">
        <xdr:nvSpPr>
          <xdr:cNvPr id="75" name="フリーフォーム: 図形 74">
            <a:extLst>
              <a:ext uri="{FF2B5EF4-FFF2-40B4-BE49-F238E27FC236}">
                <a16:creationId xmlns:a16="http://schemas.microsoft.com/office/drawing/2014/main" id="{00000000-0008-0000-0200-00004B000000}"/>
              </a:ext>
            </a:extLst>
          </xdr:cNvPr>
          <xdr:cNvSpPr/>
        </xdr:nvSpPr>
        <xdr:spPr>
          <a:xfrm rot="5400000">
            <a:off x="3640884" y="6394912"/>
            <a:ext cx="229688" cy="237213"/>
          </a:xfrm>
          <a:custGeom>
            <a:avLst/>
            <a:gdLst>
              <a:gd name="connsiteX0" fmla="*/ 0 w 249986"/>
              <a:gd name="connsiteY0" fmla="*/ 0 h 250658"/>
              <a:gd name="connsiteX1" fmla="*/ 115303 w 249986"/>
              <a:gd name="connsiteY1" fmla="*/ 15039 h 250658"/>
              <a:gd name="connsiteX2" fmla="*/ 200526 w 249986"/>
              <a:gd name="connsiteY2" fmla="*/ 75197 h 250658"/>
              <a:gd name="connsiteX3" fmla="*/ 245645 w 249986"/>
              <a:gd name="connsiteY3" fmla="*/ 195513 h 250658"/>
              <a:gd name="connsiteX4" fmla="*/ 245645 w 249986"/>
              <a:gd name="connsiteY4" fmla="*/ 250658 h 2506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9986" h="250658">
                <a:moveTo>
                  <a:pt x="0" y="0"/>
                </a:moveTo>
                <a:cubicBezTo>
                  <a:pt x="40941" y="1253"/>
                  <a:pt x="81882" y="2506"/>
                  <a:pt x="115303" y="15039"/>
                </a:cubicBezTo>
                <a:cubicBezTo>
                  <a:pt x="148724" y="27572"/>
                  <a:pt x="178802" y="45118"/>
                  <a:pt x="200526" y="75197"/>
                </a:cubicBezTo>
                <a:cubicBezTo>
                  <a:pt x="222250" y="105276"/>
                  <a:pt x="238125" y="166270"/>
                  <a:pt x="245645" y="195513"/>
                </a:cubicBezTo>
                <a:cubicBezTo>
                  <a:pt x="253165" y="224756"/>
                  <a:pt x="249405" y="237707"/>
                  <a:pt x="245645" y="250658"/>
                </a:cubicBezTo>
              </a:path>
            </a:pathLst>
          </a:cu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5</xdr:col>
      <xdr:colOff>1049</xdr:colOff>
      <xdr:row>11</xdr:row>
      <xdr:rowOff>1050</xdr:rowOff>
    </xdr:from>
    <xdr:to>
      <xdr:col>6</xdr:col>
      <xdr:colOff>0</xdr:colOff>
      <xdr:row>12</xdr:row>
      <xdr:rowOff>0</xdr:rowOff>
    </xdr:to>
    <xdr:grpSp>
      <xdr:nvGrpSpPr>
        <xdr:cNvPr id="76" name="グループ化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/>
      </xdr:nvGrpSpPr>
      <xdr:grpSpPr>
        <a:xfrm>
          <a:off x="2220374" y="4258725"/>
          <a:ext cx="475201" cy="475200"/>
          <a:chOff x="3637122" y="6385992"/>
          <a:chExt cx="475200" cy="475200"/>
        </a:xfrm>
      </xdr:grpSpPr>
      <xdr:sp macro="" textlink="">
        <xdr:nvSpPr>
          <xdr:cNvPr id="77" name="正方形/長方形 7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SpPr/>
        </xdr:nvSpPr>
        <xdr:spPr>
          <a:xfrm rot="5400000">
            <a:off x="3639781" y="6388651"/>
            <a:ext cx="475200" cy="469882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sp macro="" textlink="">
        <xdr:nvSpPr>
          <xdr:cNvPr id="78" name="フリーフォーム: 図形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/>
        </xdr:nvSpPr>
        <xdr:spPr>
          <a:xfrm rot="5400000">
            <a:off x="3640884" y="6394912"/>
            <a:ext cx="229688" cy="237213"/>
          </a:xfrm>
          <a:custGeom>
            <a:avLst/>
            <a:gdLst>
              <a:gd name="connsiteX0" fmla="*/ 0 w 249986"/>
              <a:gd name="connsiteY0" fmla="*/ 0 h 250658"/>
              <a:gd name="connsiteX1" fmla="*/ 115303 w 249986"/>
              <a:gd name="connsiteY1" fmla="*/ 15039 h 250658"/>
              <a:gd name="connsiteX2" fmla="*/ 200526 w 249986"/>
              <a:gd name="connsiteY2" fmla="*/ 75197 h 250658"/>
              <a:gd name="connsiteX3" fmla="*/ 245645 w 249986"/>
              <a:gd name="connsiteY3" fmla="*/ 195513 h 250658"/>
              <a:gd name="connsiteX4" fmla="*/ 245645 w 249986"/>
              <a:gd name="connsiteY4" fmla="*/ 250658 h 2506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9986" h="250658">
                <a:moveTo>
                  <a:pt x="0" y="0"/>
                </a:moveTo>
                <a:cubicBezTo>
                  <a:pt x="40941" y="1253"/>
                  <a:pt x="81882" y="2506"/>
                  <a:pt x="115303" y="15039"/>
                </a:cubicBezTo>
                <a:cubicBezTo>
                  <a:pt x="148724" y="27572"/>
                  <a:pt x="178802" y="45118"/>
                  <a:pt x="200526" y="75197"/>
                </a:cubicBezTo>
                <a:cubicBezTo>
                  <a:pt x="222250" y="105276"/>
                  <a:pt x="238125" y="166270"/>
                  <a:pt x="245645" y="195513"/>
                </a:cubicBezTo>
                <a:cubicBezTo>
                  <a:pt x="253165" y="224756"/>
                  <a:pt x="249405" y="237707"/>
                  <a:pt x="245645" y="250658"/>
                </a:cubicBezTo>
              </a:path>
            </a:pathLst>
          </a:cu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5</xdr:col>
      <xdr:colOff>1</xdr:colOff>
      <xdr:row>10</xdr:row>
      <xdr:rowOff>4140</xdr:rowOff>
    </xdr:from>
    <xdr:to>
      <xdr:col>6</xdr:col>
      <xdr:colOff>3093</xdr:colOff>
      <xdr:row>11</xdr:row>
      <xdr:rowOff>3092</xdr:rowOff>
    </xdr:to>
    <xdr:grpSp>
      <xdr:nvGrpSpPr>
        <xdr:cNvPr id="79" name="グループ化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GrpSpPr/>
      </xdr:nvGrpSpPr>
      <xdr:grpSpPr>
        <a:xfrm rot="-5400000">
          <a:off x="2221396" y="3783495"/>
          <a:ext cx="475202" cy="479342"/>
          <a:chOff x="3637122" y="6385992"/>
          <a:chExt cx="475200" cy="475200"/>
        </a:xfrm>
      </xdr:grpSpPr>
      <xdr:sp macro="" textlink="">
        <xdr:nvSpPr>
          <xdr:cNvPr id="80" name="正方形/長方形 79">
            <a:extLst>
              <a:ext uri="{FF2B5EF4-FFF2-40B4-BE49-F238E27FC236}">
                <a16:creationId xmlns:a16="http://schemas.microsoft.com/office/drawing/2014/main" id="{00000000-0008-0000-0200-000050000000}"/>
              </a:ext>
            </a:extLst>
          </xdr:cNvPr>
          <xdr:cNvSpPr/>
        </xdr:nvSpPr>
        <xdr:spPr>
          <a:xfrm rot="5400000">
            <a:off x="3639781" y="6388651"/>
            <a:ext cx="475200" cy="469882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sp macro="" textlink="">
        <xdr:nvSpPr>
          <xdr:cNvPr id="81" name="フリーフォーム: 図形 80">
            <a:extLst>
              <a:ext uri="{FF2B5EF4-FFF2-40B4-BE49-F238E27FC236}">
                <a16:creationId xmlns:a16="http://schemas.microsoft.com/office/drawing/2014/main" id="{00000000-0008-0000-0200-000051000000}"/>
              </a:ext>
            </a:extLst>
          </xdr:cNvPr>
          <xdr:cNvSpPr/>
        </xdr:nvSpPr>
        <xdr:spPr>
          <a:xfrm rot="5400000">
            <a:off x="3640884" y="6394912"/>
            <a:ext cx="229688" cy="237213"/>
          </a:xfrm>
          <a:custGeom>
            <a:avLst/>
            <a:gdLst>
              <a:gd name="connsiteX0" fmla="*/ 0 w 249986"/>
              <a:gd name="connsiteY0" fmla="*/ 0 h 250658"/>
              <a:gd name="connsiteX1" fmla="*/ 115303 w 249986"/>
              <a:gd name="connsiteY1" fmla="*/ 15039 h 250658"/>
              <a:gd name="connsiteX2" fmla="*/ 200526 w 249986"/>
              <a:gd name="connsiteY2" fmla="*/ 75197 h 250658"/>
              <a:gd name="connsiteX3" fmla="*/ 245645 w 249986"/>
              <a:gd name="connsiteY3" fmla="*/ 195513 h 250658"/>
              <a:gd name="connsiteX4" fmla="*/ 245645 w 249986"/>
              <a:gd name="connsiteY4" fmla="*/ 250658 h 2506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9986" h="250658">
                <a:moveTo>
                  <a:pt x="0" y="0"/>
                </a:moveTo>
                <a:cubicBezTo>
                  <a:pt x="40941" y="1253"/>
                  <a:pt x="81882" y="2506"/>
                  <a:pt x="115303" y="15039"/>
                </a:cubicBezTo>
                <a:cubicBezTo>
                  <a:pt x="148724" y="27572"/>
                  <a:pt x="178802" y="45118"/>
                  <a:pt x="200526" y="75197"/>
                </a:cubicBezTo>
                <a:cubicBezTo>
                  <a:pt x="222250" y="105276"/>
                  <a:pt x="238125" y="166270"/>
                  <a:pt x="245645" y="195513"/>
                </a:cubicBezTo>
                <a:cubicBezTo>
                  <a:pt x="253165" y="224756"/>
                  <a:pt x="249405" y="237707"/>
                  <a:pt x="245645" y="250658"/>
                </a:cubicBezTo>
              </a:path>
            </a:pathLst>
          </a:cu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4</xdr:col>
      <xdr:colOff>1049</xdr:colOff>
      <xdr:row>10</xdr:row>
      <xdr:rowOff>1050</xdr:rowOff>
    </xdr:from>
    <xdr:to>
      <xdr:col>5</xdr:col>
      <xdr:colOff>4140</xdr:colOff>
      <xdr:row>11</xdr:row>
      <xdr:rowOff>1</xdr:rowOff>
    </xdr:to>
    <xdr:grpSp>
      <xdr:nvGrpSpPr>
        <xdr:cNvPr id="82" name="グループ化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/>
      </xdr:nvGrpSpPr>
      <xdr:grpSpPr>
        <a:xfrm rot="5400000">
          <a:off x="1746194" y="3780405"/>
          <a:ext cx="475201" cy="479341"/>
          <a:chOff x="3637122" y="6385992"/>
          <a:chExt cx="475200" cy="475200"/>
        </a:xfrm>
      </xdr:grpSpPr>
      <xdr:sp macro="" textlink="">
        <xdr:nvSpPr>
          <xdr:cNvPr id="83" name="正方形/長方形 8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SpPr/>
        </xdr:nvSpPr>
        <xdr:spPr>
          <a:xfrm rot="5400000">
            <a:off x="3639781" y="6388651"/>
            <a:ext cx="475200" cy="469882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sp macro="" textlink="">
        <xdr:nvSpPr>
          <xdr:cNvPr id="84" name="フリーフォーム: 図形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/>
        </xdr:nvSpPr>
        <xdr:spPr>
          <a:xfrm rot="5400000">
            <a:off x="3640884" y="6394912"/>
            <a:ext cx="229688" cy="237213"/>
          </a:xfrm>
          <a:custGeom>
            <a:avLst/>
            <a:gdLst>
              <a:gd name="connsiteX0" fmla="*/ 0 w 249986"/>
              <a:gd name="connsiteY0" fmla="*/ 0 h 250658"/>
              <a:gd name="connsiteX1" fmla="*/ 115303 w 249986"/>
              <a:gd name="connsiteY1" fmla="*/ 15039 h 250658"/>
              <a:gd name="connsiteX2" fmla="*/ 200526 w 249986"/>
              <a:gd name="connsiteY2" fmla="*/ 75197 h 250658"/>
              <a:gd name="connsiteX3" fmla="*/ 245645 w 249986"/>
              <a:gd name="connsiteY3" fmla="*/ 195513 h 250658"/>
              <a:gd name="connsiteX4" fmla="*/ 245645 w 249986"/>
              <a:gd name="connsiteY4" fmla="*/ 250658 h 2506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9986" h="250658">
                <a:moveTo>
                  <a:pt x="0" y="0"/>
                </a:moveTo>
                <a:cubicBezTo>
                  <a:pt x="40941" y="1253"/>
                  <a:pt x="81882" y="2506"/>
                  <a:pt x="115303" y="15039"/>
                </a:cubicBezTo>
                <a:cubicBezTo>
                  <a:pt x="148724" y="27572"/>
                  <a:pt x="178802" y="45118"/>
                  <a:pt x="200526" y="75197"/>
                </a:cubicBezTo>
                <a:cubicBezTo>
                  <a:pt x="222250" y="105276"/>
                  <a:pt x="238125" y="166270"/>
                  <a:pt x="245645" y="195513"/>
                </a:cubicBezTo>
                <a:cubicBezTo>
                  <a:pt x="253165" y="224756"/>
                  <a:pt x="249405" y="237707"/>
                  <a:pt x="245645" y="250658"/>
                </a:cubicBezTo>
              </a:path>
            </a:pathLst>
          </a:cu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3092</xdr:colOff>
      <xdr:row>10</xdr:row>
      <xdr:rowOff>3091</xdr:rowOff>
    </xdr:to>
    <xdr:grpSp>
      <xdr:nvGrpSpPr>
        <xdr:cNvPr id="85" name="グループ化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GrpSpPr/>
      </xdr:nvGrpSpPr>
      <xdr:grpSpPr>
        <a:xfrm>
          <a:off x="2219325" y="3305175"/>
          <a:ext cx="479342" cy="479341"/>
          <a:chOff x="3637122" y="6385992"/>
          <a:chExt cx="475200" cy="475200"/>
        </a:xfrm>
      </xdr:grpSpPr>
      <xdr:sp macro="" textlink="">
        <xdr:nvSpPr>
          <xdr:cNvPr id="86" name="正方形/長方形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/>
        </xdr:nvSpPr>
        <xdr:spPr>
          <a:xfrm rot="5400000">
            <a:off x="3639781" y="6388651"/>
            <a:ext cx="475200" cy="469882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sp macro="" textlink="">
        <xdr:nvSpPr>
          <xdr:cNvPr id="87" name="フリーフォーム: 図形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/>
        </xdr:nvSpPr>
        <xdr:spPr>
          <a:xfrm rot="5400000">
            <a:off x="3640884" y="6394912"/>
            <a:ext cx="229688" cy="237213"/>
          </a:xfrm>
          <a:custGeom>
            <a:avLst/>
            <a:gdLst>
              <a:gd name="connsiteX0" fmla="*/ 0 w 249986"/>
              <a:gd name="connsiteY0" fmla="*/ 0 h 250658"/>
              <a:gd name="connsiteX1" fmla="*/ 115303 w 249986"/>
              <a:gd name="connsiteY1" fmla="*/ 15039 h 250658"/>
              <a:gd name="connsiteX2" fmla="*/ 200526 w 249986"/>
              <a:gd name="connsiteY2" fmla="*/ 75197 h 250658"/>
              <a:gd name="connsiteX3" fmla="*/ 245645 w 249986"/>
              <a:gd name="connsiteY3" fmla="*/ 195513 h 250658"/>
              <a:gd name="connsiteX4" fmla="*/ 245645 w 249986"/>
              <a:gd name="connsiteY4" fmla="*/ 250658 h 2506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9986" h="250658">
                <a:moveTo>
                  <a:pt x="0" y="0"/>
                </a:moveTo>
                <a:cubicBezTo>
                  <a:pt x="40941" y="1253"/>
                  <a:pt x="81882" y="2506"/>
                  <a:pt x="115303" y="15039"/>
                </a:cubicBezTo>
                <a:cubicBezTo>
                  <a:pt x="148724" y="27572"/>
                  <a:pt x="178802" y="45118"/>
                  <a:pt x="200526" y="75197"/>
                </a:cubicBezTo>
                <a:cubicBezTo>
                  <a:pt x="222250" y="105276"/>
                  <a:pt x="238125" y="166270"/>
                  <a:pt x="245645" y="195513"/>
                </a:cubicBezTo>
                <a:cubicBezTo>
                  <a:pt x="253165" y="224756"/>
                  <a:pt x="249405" y="237707"/>
                  <a:pt x="245645" y="250658"/>
                </a:cubicBezTo>
              </a:path>
            </a:pathLst>
          </a:cu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3</xdr:col>
      <xdr:colOff>0</xdr:colOff>
      <xdr:row>8</xdr:row>
      <xdr:rowOff>1050</xdr:rowOff>
    </xdr:from>
    <xdr:to>
      <xdr:col>4</xdr:col>
      <xdr:colOff>3092</xdr:colOff>
      <xdr:row>9</xdr:row>
      <xdr:rowOff>0</xdr:rowOff>
    </xdr:to>
    <xdr:grpSp>
      <xdr:nvGrpSpPr>
        <xdr:cNvPr id="88" name="グループ化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/>
      </xdr:nvGrpSpPr>
      <xdr:grpSpPr>
        <a:xfrm rot="-5400000">
          <a:off x="1268896" y="2827904"/>
          <a:ext cx="475200" cy="479342"/>
          <a:chOff x="3637122" y="6385992"/>
          <a:chExt cx="475200" cy="475200"/>
        </a:xfrm>
      </xdr:grpSpPr>
      <xdr:sp macro="" textlink="">
        <xdr:nvSpPr>
          <xdr:cNvPr id="89" name="正方形/長方形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/>
        </xdr:nvSpPr>
        <xdr:spPr>
          <a:xfrm rot="5400000">
            <a:off x="3639781" y="6388651"/>
            <a:ext cx="475200" cy="469882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sp macro="" textlink="">
        <xdr:nvSpPr>
          <xdr:cNvPr id="90" name="フリーフォーム: 図形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/>
        </xdr:nvSpPr>
        <xdr:spPr>
          <a:xfrm rot="5400000">
            <a:off x="3640884" y="6394912"/>
            <a:ext cx="229688" cy="237213"/>
          </a:xfrm>
          <a:custGeom>
            <a:avLst/>
            <a:gdLst>
              <a:gd name="connsiteX0" fmla="*/ 0 w 249986"/>
              <a:gd name="connsiteY0" fmla="*/ 0 h 250658"/>
              <a:gd name="connsiteX1" fmla="*/ 115303 w 249986"/>
              <a:gd name="connsiteY1" fmla="*/ 15039 h 250658"/>
              <a:gd name="connsiteX2" fmla="*/ 200526 w 249986"/>
              <a:gd name="connsiteY2" fmla="*/ 75197 h 250658"/>
              <a:gd name="connsiteX3" fmla="*/ 245645 w 249986"/>
              <a:gd name="connsiteY3" fmla="*/ 195513 h 250658"/>
              <a:gd name="connsiteX4" fmla="*/ 245645 w 249986"/>
              <a:gd name="connsiteY4" fmla="*/ 250658 h 2506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9986" h="250658">
                <a:moveTo>
                  <a:pt x="0" y="0"/>
                </a:moveTo>
                <a:cubicBezTo>
                  <a:pt x="40941" y="1253"/>
                  <a:pt x="81882" y="2506"/>
                  <a:pt x="115303" y="15039"/>
                </a:cubicBezTo>
                <a:cubicBezTo>
                  <a:pt x="148724" y="27572"/>
                  <a:pt x="178802" y="45118"/>
                  <a:pt x="200526" y="75197"/>
                </a:cubicBezTo>
                <a:cubicBezTo>
                  <a:pt x="222250" y="105276"/>
                  <a:pt x="238125" y="166270"/>
                  <a:pt x="245645" y="195513"/>
                </a:cubicBezTo>
                <a:cubicBezTo>
                  <a:pt x="253165" y="224756"/>
                  <a:pt x="249405" y="237707"/>
                  <a:pt x="245645" y="250658"/>
                </a:cubicBezTo>
              </a:path>
            </a:pathLst>
          </a:cu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2</xdr:col>
      <xdr:colOff>0</xdr:colOff>
      <xdr:row>8</xdr:row>
      <xdr:rowOff>1050</xdr:rowOff>
    </xdr:from>
    <xdr:to>
      <xdr:col>3</xdr:col>
      <xdr:colOff>3093</xdr:colOff>
      <xdr:row>9</xdr:row>
      <xdr:rowOff>0</xdr:rowOff>
    </xdr:to>
    <xdr:grpSp>
      <xdr:nvGrpSpPr>
        <xdr:cNvPr id="91" name="グループ化 90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GrpSpPr/>
      </xdr:nvGrpSpPr>
      <xdr:grpSpPr>
        <a:xfrm rot="10800000">
          <a:off x="790575" y="2829975"/>
          <a:ext cx="479343" cy="475200"/>
          <a:chOff x="3637122" y="6385992"/>
          <a:chExt cx="475200" cy="475200"/>
        </a:xfrm>
      </xdr:grpSpPr>
      <xdr:sp macro="" textlink="">
        <xdr:nvSpPr>
          <xdr:cNvPr id="92" name="正方形/長方形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/>
        </xdr:nvSpPr>
        <xdr:spPr>
          <a:xfrm rot="5400000">
            <a:off x="3639781" y="6388651"/>
            <a:ext cx="475200" cy="469882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sp macro="" textlink="">
        <xdr:nvSpPr>
          <xdr:cNvPr id="93" name="フリーフォーム: 図形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/>
        </xdr:nvSpPr>
        <xdr:spPr>
          <a:xfrm rot="5400000">
            <a:off x="3640884" y="6394912"/>
            <a:ext cx="229688" cy="237213"/>
          </a:xfrm>
          <a:custGeom>
            <a:avLst/>
            <a:gdLst>
              <a:gd name="connsiteX0" fmla="*/ 0 w 249986"/>
              <a:gd name="connsiteY0" fmla="*/ 0 h 250658"/>
              <a:gd name="connsiteX1" fmla="*/ 115303 w 249986"/>
              <a:gd name="connsiteY1" fmla="*/ 15039 h 250658"/>
              <a:gd name="connsiteX2" fmla="*/ 200526 w 249986"/>
              <a:gd name="connsiteY2" fmla="*/ 75197 h 250658"/>
              <a:gd name="connsiteX3" fmla="*/ 245645 w 249986"/>
              <a:gd name="connsiteY3" fmla="*/ 195513 h 250658"/>
              <a:gd name="connsiteX4" fmla="*/ 245645 w 249986"/>
              <a:gd name="connsiteY4" fmla="*/ 250658 h 2506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9986" h="250658">
                <a:moveTo>
                  <a:pt x="0" y="0"/>
                </a:moveTo>
                <a:cubicBezTo>
                  <a:pt x="40941" y="1253"/>
                  <a:pt x="81882" y="2506"/>
                  <a:pt x="115303" y="15039"/>
                </a:cubicBezTo>
                <a:cubicBezTo>
                  <a:pt x="148724" y="27572"/>
                  <a:pt x="178802" y="45118"/>
                  <a:pt x="200526" y="75197"/>
                </a:cubicBezTo>
                <a:cubicBezTo>
                  <a:pt x="222250" y="105276"/>
                  <a:pt x="238125" y="166270"/>
                  <a:pt x="245645" y="195513"/>
                </a:cubicBezTo>
                <a:cubicBezTo>
                  <a:pt x="253165" y="224756"/>
                  <a:pt x="249405" y="237707"/>
                  <a:pt x="245645" y="250658"/>
                </a:cubicBezTo>
              </a:path>
            </a:pathLst>
          </a:cu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4</xdr:col>
      <xdr:colOff>1051</xdr:colOff>
      <xdr:row>14</xdr:row>
      <xdr:rowOff>1050</xdr:rowOff>
    </xdr:from>
    <xdr:to>
      <xdr:col>5</xdr:col>
      <xdr:colOff>1</xdr:colOff>
      <xdr:row>14</xdr:row>
      <xdr:rowOff>476249</xdr:rowOff>
    </xdr:to>
    <xdr:grpSp>
      <xdr:nvGrpSpPr>
        <xdr:cNvPr id="94" name="グループ化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/>
      </xdr:nvGrpSpPr>
      <xdr:grpSpPr>
        <a:xfrm rot="5400000">
          <a:off x="1744126" y="5687475"/>
          <a:ext cx="475199" cy="475200"/>
          <a:chOff x="2219285" y="5430191"/>
          <a:chExt cx="475200" cy="475200"/>
        </a:xfrm>
      </xdr:grpSpPr>
      <xdr:grpSp>
        <xdr:nvGrpSpPr>
          <xdr:cNvPr id="95" name="グループ化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2219285" y="5430191"/>
            <a:ext cx="475200" cy="475200"/>
            <a:chOff x="2230082" y="5430191"/>
            <a:chExt cx="468000" cy="468000"/>
          </a:xfrm>
        </xdr:grpSpPr>
        <xdr:sp macro="" textlink="">
          <xdr:nvSpPr>
            <xdr:cNvPr id="97" name="正方形/長方形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/>
          </xdr:nvSpPr>
          <xdr:spPr>
            <a:xfrm>
              <a:off x="2230082" y="5430191"/>
              <a:ext cx="468000" cy="468000"/>
            </a:xfrm>
            <a:prstGeom prst="rect">
              <a:avLst/>
            </a:prstGeom>
            <a:ln w="635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endParaRPr lang="ja-JP" altLang="en-US"/>
            </a:p>
          </xdr:txBody>
        </xdr:sp>
        <xdr:cxnSp macro="">
          <xdr:nvCxnSpPr>
            <xdr:cNvPr id="98" name="直線コネクタ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stCxn id="97" idx="3"/>
              <a:endCxn id="97" idx="1"/>
            </xdr:cNvCxnSpPr>
          </xdr:nvCxnSpPr>
          <xdr:spPr>
            <a:xfrm flipH="1">
              <a:off x="2230082" y="5664191"/>
              <a:ext cx="468000" cy="0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正方形/長方形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/>
        </xdr:nvSpPr>
        <xdr:spPr>
          <a:xfrm>
            <a:off x="2329574" y="5500795"/>
            <a:ext cx="249503" cy="29480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</xdr:grpSp>
    <xdr:clientData fLocksWithSheet="0"/>
  </xdr:twoCellAnchor>
  <xdr:twoCellAnchor editAs="oneCell">
    <xdr:from>
      <xdr:col>9</xdr:col>
      <xdr:colOff>247073</xdr:colOff>
      <xdr:row>25</xdr:row>
      <xdr:rowOff>175846</xdr:rowOff>
    </xdr:from>
    <xdr:to>
      <xdr:col>10</xdr:col>
      <xdr:colOff>21980</xdr:colOff>
      <xdr:row>26</xdr:row>
      <xdr:rowOff>182626</xdr:rowOff>
    </xdr:to>
    <xdr:sp macro="" textlink="">
      <xdr:nvSpPr>
        <xdr:cNvPr id="99" name="直方体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/>
      </xdr:nvSpPr>
      <xdr:spPr>
        <a:xfrm rot="5400000" flipH="1">
          <a:off x="4350712" y="10169207"/>
          <a:ext cx="292530" cy="251157"/>
        </a:xfrm>
        <a:prstGeom prst="cube">
          <a:avLst/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3</xdr:col>
      <xdr:colOff>49035</xdr:colOff>
      <xdr:row>10</xdr:row>
      <xdr:rowOff>214924</xdr:rowOff>
    </xdr:from>
    <xdr:to>
      <xdr:col>3</xdr:col>
      <xdr:colOff>407127</xdr:colOff>
      <xdr:row>10</xdr:row>
      <xdr:rowOff>263533</xdr:rowOff>
    </xdr:to>
    <xdr:sp macro="" textlink="">
      <xdr:nvSpPr>
        <xdr:cNvPr id="102" name="直方体 1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/>
      </xdr:nvSpPr>
      <xdr:spPr>
        <a:xfrm rot="16200000" flipH="1">
          <a:off x="1470601" y="3841608"/>
          <a:ext cx="48609" cy="358092"/>
        </a:xfrm>
        <a:prstGeom prst="cube">
          <a:avLst/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4</xdr:col>
      <xdr:colOff>99578</xdr:colOff>
      <xdr:row>11</xdr:row>
      <xdr:rowOff>57661</xdr:rowOff>
    </xdr:from>
    <xdr:to>
      <xdr:col>4</xdr:col>
      <xdr:colOff>350735</xdr:colOff>
      <xdr:row>11</xdr:row>
      <xdr:rowOff>350191</xdr:rowOff>
    </xdr:to>
    <xdr:sp macro="" textlink="">
      <xdr:nvSpPr>
        <xdr:cNvPr id="103" name="直方体 102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/>
      </xdr:nvSpPr>
      <xdr:spPr>
        <a:xfrm rot="5400000" flipH="1">
          <a:off x="1821967" y="4336022"/>
          <a:ext cx="292530" cy="251157"/>
        </a:xfrm>
        <a:prstGeom prst="cube">
          <a:avLst/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2</xdr:col>
      <xdr:colOff>94294</xdr:colOff>
      <xdr:row>12</xdr:row>
      <xdr:rowOff>94293</xdr:rowOff>
    </xdr:from>
    <xdr:to>
      <xdr:col>2</xdr:col>
      <xdr:colOff>394698</xdr:colOff>
      <xdr:row>12</xdr:row>
      <xdr:rowOff>402024</xdr:rowOff>
    </xdr:to>
    <xdr:sp macro="" textlink="">
      <xdr:nvSpPr>
        <xdr:cNvPr id="104" name="矢印: 折線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SpPr/>
      </xdr:nvSpPr>
      <xdr:spPr>
        <a:xfrm rot="10800000" flipV="1">
          <a:off x="884869" y="4828218"/>
          <a:ext cx="300404" cy="307731"/>
        </a:xfrm>
        <a:prstGeom prst="ben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2</xdr:col>
      <xdr:colOff>108948</xdr:colOff>
      <xdr:row>10</xdr:row>
      <xdr:rowOff>86965</xdr:rowOff>
    </xdr:from>
    <xdr:to>
      <xdr:col>2</xdr:col>
      <xdr:colOff>409352</xdr:colOff>
      <xdr:row>10</xdr:row>
      <xdr:rowOff>387369</xdr:rowOff>
    </xdr:to>
    <xdr:sp macro="" textlink="">
      <xdr:nvSpPr>
        <xdr:cNvPr id="105" name="矢印: 折線 104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SpPr/>
      </xdr:nvSpPr>
      <xdr:spPr>
        <a:xfrm>
          <a:off x="899523" y="3868390"/>
          <a:ext cx="300404" cy="300404"/>
        </a:xfrm>
        <a:prstGeom prst="bentArrow">
          <a:avLst>
            <a:gd name="adj1" fmla="val 27439"/>
            <a:gd name="adj2" fmla="val 25000"/>
            <a:gd name="adj3" fmla="val 25000"/>
            <a:gd name="adj4" fmla="val 43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8</xdr:col>
      <xdr:colOff>345411</xdr:colOff>
      <xdr:row>24</xdr:row>
      <xdr:rowOff>277376</xdr:rowOff>
    </xdr:from>
    <xdr:to>
      <xdr:col>8</xdr:col>
      <xdr:colOff>417411</xdr:colOff>
      <xdr:row>25</xdr:row>
      <xdr:rowOff>62174</xdr:rowOff>
    </xdr:to>
    <xdr:sp macro="" textlink="">
      <xdr:nvSpPr>
        <xdr:cNvPr id="106" name="正方形/長方形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/>
      </xdr:nvSpPr>
      <xdr:spPr>
        <a:xfrm>
          <a:off x="3993486" y="9964301"/>
          <a:ext cx="72000" cy="70548"/>
        </a:xfrm>
        <a:prstGeom prst="rect">
          <a:avLst/>
        </a:prstGeom>
        <a:solidFill>
          <a:schemeClr val="accent6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3091</xdr:colOff>
      <xdr:row>14</xdr:row>
      <xdr:rowOff>3091</xdr:rowOff>
    </xdr:to>
    <xdr:grpSp>
      <xdr:nvGrpSpPr>
        <xdr:cNvPr id="126" name="グループ化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pSpPr/>
      </xdr:nvGrpSpPr>
      <xdr:grpSpPr>
        <a:xfrm>
          <a:off x="1743075" y="5210175"/>
          <a:ext cx="479341" cy="479341"/>
          <a:chOff x="1749249" y="5461419"/>
          <a:chExt cx="477921" cy="477922"/>
        </a:xfrm>
      </xdr:grpSpPr>
      <xdr:grpSp>
        <xdr:nvGrpSpPr>
          <xdr:cNvPr id="127" name="グループ化 126">
            <a:extLst>
              <a:ext uri="{FF2B5EF4-FFF2-40B4-BE49-F238E27FC236}">
                <a16:creationId xmlns:a16="http://schemas.microsoft.com/office/drawing/2014/main" id="{00000000-0008-0000-0200-00007F000000}"/>
              </a:ext>
            </a:extLst>
          </xdr:cNvPr>
          <xdr:cNvGrpSpPr/>
        </xdr:nvGrpSpPr>
        <xdr:grpSpPr>
          <a:xfrm>
            <a:off x="1749249" y="5461419"/>
            <a:ext cx="477921" cy="477922"/>
            <a:chOff x="1748962" y="5433775"/>
            <a:chExt cx="468406" cy="468000"/>
          </a:xfrm>
        </xdr:grpSpPr>
        <xdr:sp macro="" textlink="">
          <xdr:nvSpPr>
            <xdr:cNvPr id="129" name="正方形/長方形 128">
              <a:extLst>
                <a:ext uri="{FF2B5EF4-FFF2-40B4-BE49-F238E27FC236}">
                  <a16:creationId xmlns:a16="http://schemas.microsoft.com/office/drawing/2014/main" id="{00000000-0008-0000-0200-000081000000}"/>
                </a:ext>
              </a:extLst>
            </xdr:cNvPr>
            <xdr:cNvSpPr/>
          </xdr:nvSpPr>
          <xdr:spPr>
            <a:xfrm rot="16200000">
              <a:off x="1749165" y="5433572"/>
              <a:ext cx="468000" cy="468406"/>
            </a:xfrm>
            <a:prstGeom prst="rect">
              <a:avLst/>
            </a:prstGeom>
            <a:ln w="635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endParaRPr lang="ja-JP" altLang="en-US"/>
            </a:p>
          </xdr:txBody>
        </xdr:sp>
        <xdr:cxnSp macro="">
          <xdr:nvCxnSpPr>
            <xdr:cNvPr id="130" name="直線コネクタ 129">
              <a:extLst>
                <a:ext uri="{FF2B5EF4-FFF2-40B4-BE49-F238E27FC236}">
                  <a16:creationId xmlns:a16="http://schemas.microsoft.com/office/drawing/2014/main" id="{00000000-0008-0000-0200-000082000000}"/>
                </a:ext>
              </a:extLst>
            </xdr:cNvPr>
            <xdr:cNvCxnSpPr>
              <a:stCxn id="129" idx="0"/>
              <a:endCxn id="129" idx="2"/>
            </xdr:cNvCxnSpPr>
          </xdr:nvCxnSpPr>
          <xdr:spPr>
            <a:xfrm rot="16200000">
              <a:off x="1983165" y="5433572"/>
              <a:ext cx="0" cy="468406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31" name="直線コネクタ 130">
              <a:extLst>
                <a:ext uri="{FF2B5EF4-FFF2-40B4-BE49-F238E27FC236}">
                  <a16:creationId xmlns:a16="http://schemas.microsoft.com/office/drawing/2014/main" id="{00000000-0008-0000-0200-000083000000}"/>
                </a:ext>
              </a:extLst>
            </xdr:cNvPr>
            <xdr:cNvCxnSpPr>
              <a:stCxn id="129" idx="1"/>
            </xdr:cNvCxnSpPr>
          </xdr:nvCxnSpPr>
          <xdr:spPr>
            <a:xfrm rot="16200000">
              <a:off x="1860895" y="5778669"/>
              <a:ext cx="245376" cy="836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128" name="正方形/長方形 127">
            <a:extLst>
              <a:ext uri="{FF2B5EF4-FFF2-40B4-BE49-F238E27FC236}">
                <a16:creationId xmlns:a16="http://schemas.microsoft.com/office/drawing/2014/main" id="{00000000-0008-0000-0200-000080000000}"/>
              </a:ext>
            </a:extLst>
          </xdr:cNvPr>
          <xdr:cNvSpPr/>
        </xdr:nvSpPr>
        <xdr:spPr>
          <a:xfrm>
            <a:off x="1891183" y="5731119"/>
            <a:ext cx="72000" cy="73269"/>
          </a:xfrm>
          <a:prstGeom prst="rect">
            <a:avLst/>
          </a:prstGeom>
          <a:solidFill>
            <a:schemeClr val="accent6"/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 fLocksWithSheet="0"/>
  </xdr:twoCellAnchor>
  <xdr:twoCellAnchor>
    <xdr:from>
      <xdr:col>4</xdr:col>
      <xdr:colOff>0</xdr:colOff>
      <xdr:row>9</xdr:row>
      <xdr:rowOff>0</xdr:rowOff>
    </xdr:from>
    <xdr:to>
      <xdr:col>5</xdr:col>
      <xdr:colOff>3091</xdr:colOff>
      <xdr:row>10</xdr:row>
      <xdr:rowOff>3091</xdr:rowOff>
    </xdr:to>
    <xdr:grpSp>
      <xdr:nvGrpSpPr>
        <xdr:cNvPr id="132" name="グループ化 131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GrpSpPr/>
      </xdr:nvGrpSpPr>
      <xdr:grpSpPr>
        <a:xfrm>
          <a:off x="1743075" y="3305175"/>
          <a:ext cx="479341" cy="479341"/>
          <a:chOff x="1754038" y="3550976"/>
          <a:chExt cx="477921" cy="477921"/>
        </a:xfrm>
      </xdr:grpSpPr>
      <xdr:grpSp>
        <xdr:nvGrpSpPr>
          <xdr:cNvPr id="133" name="グループ化 132">
            <a:extLst>
              <a:ext uri="{FF2B5EF4-FFF2-40B4-BE49-F238E27FC236}">
                <a16:creationId xmlns:a16="http://schemas.microsoft.com/office/drawing/2014/main" id="{00000000-0008-0000-0200-000085000000}"/>
              </a:ext>
            </a:extLst>
          </xdr:cNvPr>
          <xdr:cNvGrpSpPr/>
        </xdr:nvGrpSpPr>
        <xdr:grpSpPr>
          <a:xfrm>
            <a:off x="1754038" y="3550976"/>
            <a:ext cx="477921" cy="477921"/>
            <a:chOff x="1821212" y="3561574"/>
            <a:chExt cx="462804" cy="462920"/>
          </a:xfrm>
        </xdr:grpSpPr>
        <xdr:sp macro="" textlink="">
          <xdr:nvSpPr>
            <xdr:cNvPr id="135" name="正方形/長方形 134">
              <a:extLst>
                <a:ext uri="{FF2B5EF4-FFF2-40B4-BE49-F238E27FC236}">
                  <a16:creationId xmlns:a16="http://schemas.microsoft.com/office/drawing/2014/main" id="{00000000-0008-0000-0200-000087000000}"/>
                </a:ext>
              </a:extLst>
            </xdr:cNvPr>
            <xdr:cNvSpPr/>
          </xdr:nvSpPr>
          <xdr:spPr>
            <a:xfrm rot="16200000">
              <a:off x="1821154" y="3561632"/>
              <a:ext cx="462920" cy="462804"/>
            </a:xfrm>
            <a:prstGeom prst="rect">
              <a:avLst/>
            </a:prstGeom>
            <a:ln w="635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endParaRPr lang="ja-JP" altLang="en-US"/>
            </a:p>
          </xdr:txBody>
        </xdr:sp>
        <xdr:cxnSp macro="">
          <xdr:nvCxnSpPr>
            <xdr:cNvPr id="136" name="直線コネクタ 135">
              <a:extLst>
                <a:ext uri="{FF2B5EF4-FFF2-40B4-BE49-F238E27FC236}">
                  <a16:creationId xmlns:a16="http://schemas.microsoft.com/office/drawing/2014/main" id="{00000000-0008-0000-0200-000088000000}"/>
                </a:ext>
              </a:extLst>
            </xdr:cNvPr>
            <xdr:cNvCxnSpPr>
              <a:stCxn id="135" idx="0"/>
              <a:endCxn id="135" idx="2"/>
            </xdr:cNvCxnSpPr>
          </xdr:nvCxnSpPr>
          <xdr:spPr>
            <a:xfrm rot="16200000">
              <a:off x="2052614" y="3561632"/>
              <a:ext cx="0" cy="462804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37" name="直線コネクタ 136">
              <a:extLst>
                <a:ext uri="{FF2B5EF4-FFF2-40B4-BE49-F238E27FC236}">
                  <a16:creationId xmlns:a16="http://schemas.microsoft.com/office/drawing/2014/main" id="{00000000-0008-0000-0200-000089000000}"/>
                </a:ext>
              </a:extLst>
            </xdr:cNvPr>
            <xdr:cNvCxnSpPr>
              <a:stCxn id="135" idx="1"/>
            </xdr:cNvCxnSpPr>
          </xdr:nvCxnSpPr>
          <xdr:spPr>
            <a:xfrm rot="16200000">
              <a:off x="1931671" y="3902725"/>
              <a:ext cx="242712" cy="826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134" name="正方形/長方形 133">
            <a:extLst>
              <a:ext uri="{FF2B5EF4-FFF2-40B4-BE49-F238E27FC236}">
                <a16:creationId xmlns:a16="http://schemas.microsoft.com/office/drawing/2014/main" id="{00000000-0008-0000-0200-000086000000}"/>
              </a:ext>
            </a:extLst>
          </xdr:cNvPr>
          <xdr:cNvSpPr/>
        </xdr:nvSpPr>
        <xdr:spPr>
          <a:xfrm>
            <a:off x="2027255" y="3815233"/>
            <a:ext cx="72000" cy="73269"/>
          </a:xfrm>
          <a:prstGeom prst="rect">
            <a:avLst/>
          </a:prstGeom>
          <a:solidFill>
            <a:schemeClr val="accent6"/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3091</xdr:colOff>
      <xdr:row>12</xdr:row>
      <xdr:rowOff>475200</xdr:rowOff>
    </xdr:to>
    <xdr:grpSp>
      <xdr:nvGrpSpPr>
        <xdr:cNvPr id="167" name="グループ化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GrpSpPr/>
      </xdr:nvGrpSpPr>
      <xdr:grpSpPr>
        <a:xfrm>
          <a:off x="5610225" y="4733925"/>
          <a:ext cx="479341" cy="475200"/>
          <a:chOff x="2219285" y="5430191"/>
          <a:chExt cx="475200" cy="475200"/>
        </a:xfrm>
      </xdr:grpSpPr>
      <xdr:grpSp>
        <xdr:nvGrpSpPr>
          <xdr:cNvPr id="168" name="グループ化 167"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GrpSpPr/>
        </xdr:nvGrpSpPr>
        <xdr:grpSpPr>
          <a:xfrm>
            <a:off x="2219285" y="5430191"/>
            <a:ext cx="475200" cy="475200"/>
            <a:chOff x="2230082" y="5430191"/>
            <a:chExt cx="468000" cy="468000"/>
          </a:xfrm>
        </xdr:grpSpPr>
        <xdr:sp macro="" textlink="">
          <xdr:nvSpPr>
            <xdr:cNvPr id="170" name="正方形/長方形 169">
              <a:extLst>
                <a:ext uri="{FF2B5EF4-FFF2-40B4-BE49-F238E27FC236}">
                  <a16:creationId xmlns:a16="http://schemas.microsoft.com/office/drawing/2014/main" id="{00000000-0008-0000-0200-0000AA000000}"/>
                </a:ext>
              </a:extLst>
            </xdr:cNvPr>
            <xdr:cNvSpPr/>
          </xdr:nvSpPr>
          <xdr:spPr>
            <a:xfrm>
              <a:off x="2230082" y="5430191"/>
              <a:ext cx="468000" cy="468000"/>
            </a:xfrm>
            <a:prstGeom prst="rect">
              <a:avLst/>
            </a:prstGeom>
            <a:ln w="635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endParaRPr lang="ja-JP" altLang="en-US"/>
            </a:p>
          </xdr:txBody>
        </xdr:sp>
        <xdr:cxnSp macro="">
          <xdr:nvCxnSpPr>
            <xdr:cNvPr id="171" name="直線コネクタ 170">
              <a:extLst>
                <a:ext uri="{FF2B5EF4-FFF2-40B4-BE49-F238E27FC236}">
                  <a16:creationId xmlns:a16="http://schemas.microsoft.com/office/drawing/2014/main" id="{00000000-0008-0000-0200-0000AB000000}"/>
                </a:ext>
              </a:extLst>
            </xdr:cNvPr>
            <xdr:cNvCxnSpPr>
              <a:stCxn id="170" idx="3"/>
              <a:endCxn id="170" idx="1"/>
            </xdr:cNvCxnSpPr>
          </xdr:nvCxnSpPr>
          <xdr:spPr>
            <a:xfrm flipH="1">
              <a:off x="2230082" y="5664191"/>
              <a:ext cx="468000" cy="0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169" name="正方形/長方形 168"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SpPr/>
        </xdr:nvSpPr>
        <xdr:spPr>
          <a:xfrm>
            <a:off x="2329574" y="5500795"/>
            <a:ext cx="249503" cy="29480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</xdr:grpSp>
    <xdr:clientData/>
  </xdr:twoCellAnchor>
  <xdr:twoCellAnchor editAs="oneCell">
    <xdr:from>
      <xdr:col>2</xdr:col>
      <xdr:colOff>420771</xdr:colOff>
      <xdr:row>12</xdr:row>
      <xdr:rowOff>449883</xdr:rowOff>
    </xdr:from>
    <xdr:to>
      <xdr:col>3</xdr:col>
      <xdr:colOff>268521</xdr:colOff>
      <xdr:row>13</xdr:row>
      <xdr:rowOff>273668</xdr:rowOff>
    </xdr:to>
    <xdr:sp macro="" textlink="">
      <xdr:nvSpPr>
        <xdr:cNvPr id="213" name="正方形/長方形 212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SpPr/>
      </xdr:nvSpPr>
      <xdr:spPr>
        <a:xfrm>
          <a:off x="1211346" y="5183808"/>
          <a:ext cx="324000" cy="300035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5</a:t>
          </a:r>
          <a:endParaRPr lang="ja-JP" altLang="en-US" sz="900"/>
        </a:p>
      </xdr:txBody>
    </xdr:sp>
    <xdr:clientData fLocksWithSheet="0"/>
  </xdr:twoCellAnchor>
  <xdr:twoCellAnchor editAs="oneCell">
    <xdr:from>
      <xdr:col>3</xdr:col>
      <xdr:colOff>238554</xdr:colOff>
      <xdr:row>14</xdr:row>
      <xdr:rowOff>1031</xdr:rowOff>
    </xdr:from>
    <xdr:to>
      <xdr:col>4</xdr:col>
      <xdr:colOff>86304</xdr:colOff>
      <xdr:row>14</xdr:row>
      <xdr:rowOff>301066</xdr:rowOff>
    </xdr:to>
    <xdr:sp macro="" textlink="">
      <xdr:nvSpPr>
        <xdr:cNvPr id="214" name="正方形/長方形 213">
          <a:extLst>
            <a:ext uri="{FF2B5EF4-FFF2-40B4-BE49-F238E27FC236}">
              <a16:creationId xmlns:a16="http://schemas.microsoft.com/office/drawing/2014/main" id="{00000000-0008-0000-0200-0000D6000000}"/>
            </a:ext>
          </a:extLst>
        </xdr:cNvPr>
        <xdr:cNvSpPr/>
      </xdr:nvSpPr>
      <xdr:spPr>
        <a:xfrm>
          <a:off x="1505379" y="5687456"/>
          <a:ext cx="324000" cy="300035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6</a:t>
          </a:r>
          <a:endParaRPr lang="ja-JP" altLang="en-US" sz="900"/>
        </a:p>
      </xdr:txBody>
    </xdr:sp>
    <xdr:clientData fLocksWithSheet="0"/>
  </xdr:twoCellAnchor>
  <xdr:twoCellAnchor editAs="oneCell">
    <xdr:from>
      <xdr:col>1</xdr:col>
      <xdr:colOff>421727</xdr:colOff>
      <xdr:row>14</xdr:row>
      <xdr:rowOff>8358</xdr:rowOff>
    </xdr:from>
    <xdr:to>
      <xdr:col>2</xdr:col>
      <xdr:colOff>269477</xdr:colOff>
      <xdr:row>14</xdr:row>
      <xdr:rowOff>308393</xdr:rowOff>
    </xdr:to>
    <xdr:sp macro="" textlink="">
      <xdr:nvSpPr>
        <xdr:cNvPr id="215" name="正方形/長方形 214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SpPr/>
      </xdr:nvSpPr>
      <xdr:spPr>
        <a:xfrm>
          <a:off x="736052" y="5694783"/>
          <a:ext cx="324000" cy="300035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7</a:t>
          </a:r>
          <a:endParaRPr lang="ja-JP" altLang="en-US" sz="900"/>
        </a:p>
      </xdr:txBody>
    </xdr:sp>
    <xdr:clientData fLocksWithSheet="0"/>
  </xdr:twoCellAnchor>
  <xdr:twoCellAnchor editAs="oneCell">
    <xdr:from>
      <xdr:col>1</xdr:col>
      <xdr:colOff>420771</xdr:colOff>
      <xdr:row>12</xdr:row>
      <xdr:rowOff>479191</xdr:rowOff>
    </xdr:from>
    <xdr:to>
      <xdr:col>2</xdr:col>
      <xdr:colOff>268521</xdr:colOff>
      <xdr:row>13</xdr:row>
      <xdr:rowOff>302976</xdr:rowOff>
    </xdr:to>
    <xdr:sp macro="" textlink="">
      <xdr:nvSpPr>
        <xdr:cNvPr id="216" name="正方形/長方形 215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SpPr/>
      </xdr:nvSpPr>
      <xdr:spPr>
        <a:xfrm>
          <a:off x="735096" y="5213116"/>
          <a:ext cx="324000" cy="300035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8</a:t>
          </a:r>
          <a:endParaRPr lang="ja-JP" altLang="en-US" sz="900"/>
        </a:p>
      </xdr:txBody>
    </xdr:sp>
    <xdr:clientData fLocksWithSheet="0"/>
  </xdr:twoCellAnchor>
  <xdr:twoCellAnchor editAs="oneCell">
    <xdr:from>
      <xdr:col>1</xdr:col>
      <xdr:colOff>412488</xdr:colOff>
      <xdr:row>10</xdr:row>
      <xdr:rowOff>474095</xdr:rowOff>
    </xdr:from>
    <xdr:to>
      <xdr:col>2</xdr:col>
      <xdr:colOff>260238</xdr:colOff>
      <xdr:row>11</xdr:row>
      <xdr:rowOff>293739</xdr:rowOff>
    </xdr:to>
    <xdr:sp macro="" textlink="">
      <xdr:nvSpPr>
        <xdr:cNvPr id="217" name="正方形/長方形 216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SpPr/>
      </xdr:nvSpPr>
      <xdr:spPr>
        <a:xfrm>
          <a:off x="726813" y="4255520"/>
          <a:ext cx="324000" cy="295894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10</a:t>
          </a:r>
          <a:endParaRPr lang="ja-JP" altLang="en-US" sz="900"/>
        </a:p>
      </xdr:txBody>
    </xdr:sp>
    <xdr:clientData/>
  </xdr:twoCellAnchor>
  <xdr:twoCellAnchor editAs="oneCell">
    <xdr:from>
      <xdr:col>1</xdr:col>
      <xdr:colOff>398791</xdr:colOff>
      <xdr:row>8</xdr:row>
      <xdr:rowOff>462628</xdr:rowOff>
    </xdr:from>
    <xdr:to>
      <xdr:col>2</xdr:col>
      <xdr:colOff>246541</xdr:colOff>
      <xdr:row>9</xdr:row>
      <xdr:rowOff>286412</xdr:rowOff>
    </xdr:to>
    <xdr:sp macro="" textlink="">
      <xdr:nvSpPr>
        <xdr:cNvPr id="218" name="正方形/長方形 217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SpPr/>
      </xdr:nvSpPr>
      <xdr:spPr>
        <a:xfrm>
          <a:off x="713116" y="3291553"/>
          <a:ext cx="324000" cy="300034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12</a:t>
          </a:r>
          <a:endParaRPr lang="ja-JP" altLang="en-US" sz="900"/>
        </a:p>
      </xdr:txBody>
    </xdr:sp>
    <xdr:clientData/>
  </xdr:twoCellAnchor>
  <xdr:twoCellAnchor editAs="oneCell">
    <xdr:from>
      <xdr:col>1</xdr:col>
      <xdr:colOff>420772</xdr:colOff>
      <xdr:row>7</xdr:row>
      <xdr:rowOff>440647</xdr:rowOff>
    </xdr:from>
    <xdr:to>
      <xdr:col>2</xdr:col>
      <xdr:colOff>268522</xdr:colOff>
      <xdr:row>8</xdr:row>
      <xdr:rowOff>264433</xdr:rowOff>
    </xdr:to>
    <xdr:sp macro="" textlink="">
      <xdr:nvSpPr>
        <xdr:cNvPr id="219" name="正方形/長方形 218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SpPr/>
      </xdr:nvSpPr>
      <xdr:spPr>
        <a:xfrm>
          <a:off x="735097" y="2793322"/>
          <a:ext cx="324000" cy="300036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13</a:t>
          </a:r>
          <a:endParaRPr lang="ja-JP" altLang="en-US" sz="900"/>
        </a:p>
      </xdr:txBody>
    </xdr:sp>
    <xdr:clientData/>
  </xdr:twoCellAnchor>
  <xdr:twoCellAnchor editAs="oneCell">
    <xdr:from>
      <xdr:col>3</xdr:col>
      <xdr:colOff>222945</xdr:colOff>
      <xdr:row>7</xdr:row>
      <xdr:rowOff>470910</xdr:rowOff>
    </xdr:from>
    <xdr:to>
      <xdr:col>4</xdr:col>
      <xdr:colOff>70695</xdr:colOff>
      <xdr:row>8</xdr:row>
      <xdr:rowOff>294696</xdr:rowOff>
    </xdr:to>
    <xdr:sp macro="" textlink="">
      <xdr:nvSpPr>
        <xdr:cNvPr id="220" name="正方形/長方形 219">
          <a:extLst>
            <a:ext uri="{FF2B5EF4-FFF2-40B4-BE49-F238E27FC236}">
              <a16:creationId xmlns:a16="http://schemas.microsoft.com/office/drawing/2014/main" id="{00000000-0008-0000-0200-0000DC000000}"/>
            </a:ext>
          </a:extLst>
        </xdr:cNvPr>
        <xdr:cNvSpPr/>
      </xdr:nvSpPr>
      <xdr:spPr>
        <a:xfrm>
          <a:off x="1489770" y="2823585"/>
          <a:ext cx="324000" cy="300036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14</a:t>
          </a:r>
          <a:endParaRPr lang="ja-JP" altLang="en-US" sz="900"/>
        </a:p>
      </xdr:txBody>
    </xdr:sp>
    <xdr:clientData/>
  </xdr:twoCellAnchor>
  <xdr:twoCellAnchor editAs="oneCell">
    <xdr:from>
      <xdr:col>2</xdr:col>
      <xdr:colOff>419816</xdr:colOff>
      <xdr:row>11</xdr:row>
      <xdr:rowOff>1031</xdr:rowOff>
    </xdr:from>
    <xdr:to>
      <xdr:col>3</xdr:col>
      <xdr:colOff>267566</xdr:colOff>
      <xdr:row>11</xdr:row>
      <xdr:rowOff>301066</xdr:rowOff>
    </xdr:to>
    <xdr:sp macro="" textlink="">
      <xdr:nvSpPr>
        <xdr:cNvPr id="221" name="正方形/長方形 220">
          <a:extLst>
            <a:ext uri="{FF2B5EF4-FFF2-40B4-BE49-F238E27FC236}">
              <a16:creationId xmlns:a16="http://schemas.microsoft.com/office/drawing/2014/main" id="{00000000-0008-0000-0200-0000DD000000}"/>
            </a:ext>
          </a:extLst>
        </xdr:cNvPr>
        <xdr:cNvSpPr/>
      </xdr:nvSpPr>
      <xdr:spPr>
        <a:xfrm>
          <a:off x="1210391" y="4258706"/>
          <a:ext cx="324000" cy="300035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17</a:t>
          </a:r>
          <a:endParaRPr lang="ja-JP" altLang="en-US" sz="900"/>
        </a:p>
      </xdr:txBody>
    </xdr:sp>
    <xdr:clientData/>
  </xdr:twoCellAnchor>
  <xdr:twoCellAnchor editAs="oneCell">
    <xdr:from>
      <xdr:col>5</xdr:col>
      <xdr:colOff>229317</xdr:colOff>
      <xdr:row>10</xdr:row>
      <xdr:rowOff>433319</xdr:rowOff>
    </xdr:from>
    <xdr:to>
      <xdr:col>6</xdr:col>
      <xdr:colOff>77067</xdr:colOff>
      <xdr:row>11</xdr:row>
      <xdr:rowOff>257105</xdr:rowOff>
    </xdr:to>
    <xdr:sp macro="" textlink="">
      <xdr:nvSpPr>
        <xdr:cNvPr id="222" name="正方形/長方形 221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SpPr/>
      </xdr:nvSpPr>
      <xdr:spPr>
        <a:xfrm>
          <a:off x="2448642" y="4214744"/>
          <a:ext cx="324000" cy="300036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19</a:t>
          </a:r>
          <a:endParaRPr lang="ja-JP" altLang="en-US" sz="900"/>
        </a:p>
      </xdr:txBody>
    </xdr:sp>
    <xdr:clientData/>
  </xdr:twoCellAnchor>
  <xdr:twoCellAnchor editAs="oneCell">
    <xdr:from>
      <xdr:col>5</xdr:col>
      <xdr:colOff>221990</xdr:colOff>
      <xdr:row>9</xdr:row>
      <xdr:rowOff>447972</xdr:rowOff>
    </xdr:from>
    <xdr:to>
      <xdr:col>6</xdr:col>
      <xdr:colOff>50334</xdr:colOff>
      <xdr:row>10</xdr:row>
      <xdr:rowOff>271757</xdr:rowOff>
    </xdr:to>
    <xdr:sp macro="" textlink="">
      <xdr:nvSpPr>
        <xdr:cNvPr id="223" name="正方形/長方形 222">
          <a:extLst>
            <a:ext uri="{FF2B5EF4-FFF2-40B4-BE49-F238E27FC236}">
              <a16:creationId xmlns:a16="http://schemas.microsoft.com/office/drawing/2014/main" id="{00000000-0008-0000-0200-0000DF000000}"/>
            </a:ext>
          </a:extLst>
        </xdr:cNvPr>
        <xdr:cNvSpPr/>
      </xdr:nvSpPr>
      <xdr:spPr>
        <a:xfrm>
          <a:off x="2441315" y="3753147"/>
          <a:ext cx="304594" cy="300035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20</a:t>
          </a:r>
          <a:endParaRPr lang="ja-JP" altLang="en-US" sz="900"/>
        </a:p>
      </xdr:txBody>
    </xdr:sp>
    <xdr:clientData/>
  </xdr:twoCellAnchor>
  <xdr:twoCellAnchor editAs="oneCell">
    <xdr:from>
      <xdr:col>3</xdr:col>
      <xdr:colOff>419817</xdr:colOff>
      <xdr:row>9</xdr:row>
      <xdr:rowOff>440645</xdr:rowOff>
    </xdr:from>
    <xdr:to>
      <xdr:col>4</xdr:col>
      <xdr:colOff>267567</xdr:colOff>
      <xdr:row>10</xdr:row>
      <xdr:rowOff>264430</xdr:rowOff>
    </xdr:to>
    <xdr:sp macro="" textlink="">
      <xdr:nvSpPr>
        <xdr:cNvPr id="224" name="正方形/長方形 223">
          <a:extLst>
            <a:ext uri="{FF2B5EF4-FFF2-40B4-BE49-F238E27FC236}">
              <a16:creationId xmlns:a16="http://schemas.microsoft.com/office/drawing/2014/main" id="{00000000-0008-0000-0200-0000E0000000}"/>
            </a:ext>
          </a:extLst>
        </xdr:cNvPr>
        <xdr:cNvSpPr/>
      </xdr:nvSpPr>
      <xdr:spPr>
        <a:xfrm>
          <a:off x="1686642" y="3745820"/>
          <a:ext cx="324000" cy="300035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21</a:t>
          </a:r>
          <a:endParaRPr lang="ja-JP" altLang="en-US" sz="900"/>
        </a:p>
      </xdr:txBody>
    </xdr:sp>
    <xdr:clientData/>
  </xdr:twoCellAnchor>
  <xdr:twoCellAnchor editAs="oneCell">
    <xdr:from>
      <xdr:col>5</xdr:col>
      <xdr:colOff>252254</xdr:colOff>
      <xdr:row>8</xdr:row>
      <xdr:rowOff>455300</xdr:rowOff>
    </xdr:from>
    <xdr:to>
      <xdr:col>6</xdr:col>
      <xdr:colOff>100004</xdr:colOff>
      <xdr:row>9</xdr:row>
      <xdr:rowOff>279084</xdr:rowOff>
    </xdr:to>
    <xdr:sp macro="" textlink="">
      <xdr:nvSpPr>
        <xdr:cNvPr id="225" name="正方形/長方形 224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SpPr/>
      </xdr:nvSpPr>
      <xdr:spPr>
        <a:xfrm>
          <a:off x="2471579" y="3284225"/>
          <a:ext cx="324000" cy="300034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23</a:t>
          </a:r>
          <a:endParaRPr lang="ja-JP" altLang="en-US" sz="900"/>
        </a:p>
      </xdr:txBody>
    </xdr:sp>
    <xdr:clientData/>
  </xdr:twoCellAnchor>
  <xdr:twoCellAnchor editAs="oneCell">
    <xdr:from>
      <xdr:col>5</xdr:col>
      <xdr:colOff>244927</xdr:colOff>
      <xdr:row>7</xdr:row>
      <xdr:rowOff>440646</xdr:rowOff>
    </xdr:from>
    <xdr:to>
      <xdr:col>6</xdr:col>
      <xdr:colOff>92677</xdr:colOff>
      <xdr:row>8</xdr:row>
      <xdr:rowOff>264432</xdr:rowOff>
    </xdr:to>
    <xdr:sp macro="" textlink="">
      <xdr:nvSpPr>
        <xdr:cNvPr id="226" name="正方形/長方形 225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SpPr/>
      </xdr:nvSpPr>
      <xdr:spPr>
        <a:xfrm>
          <a:off x="2464252" y="2793321"/>
          <a:ext cx="324000" cy="300036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24</a:t>
          </a:r>
          <a:endParaRPr lang="ja-JP" altLang="en-US" sz="900"/>
        </a:p>
      </xdr:txBody>
    </xdr:sp>
    <xdr:clientData/>
  </xdr:twoCellAnchor>
  <xdr:twoCellAnchor>
    <xdr:from>
      <xdr:col>4</xdr:col>
      <xdr:colOff>1051</xdr:colOff>
      <xdr:row>16</xdr:row>
      <xdr:rowOff>0</xdr:rowOff>
    </xdr:from>
    <xdr:to>
      <xdr:col>5</xdr:col>
      <xdr:colOff>0</xdr:colOff>
      <xdr:row>16</xdr:row>
      <xdr:rowOff>475199</xdr:rowOff>
    </xdr:to>
    <xdr:grpSp>
      <xdr:nvGrpSpPr>
        <xdr:cNvPr id="234" name="グループ化 233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/>
      </xdr:nvGrpSpPr>
      <xdr:grpSpPr>
        <a:xfrm rot="10800000">
          <a:off x="1744126" y="6638925"/>
          <a:ext cx="475199" cy="475199"/>
          <a:chOff x="3680382" y="5776901"/>
          <a:chExt cx="479341" cy="479341"/>
        </a:xfrm>
      </xdr:grpSpPr>
      <xdr:sp macro="" textlink="">
        <xdr:nvSpPr>
          <xdr:cNvPr id="235" name="正方形/長方形 234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SpPr/>
        </xdr:nvSpPr>
        <xdr:spPr>
          <a:xfrm>
            <a:off x="3680382" y="5776901"/>
            <a:ext cx="479341" cy="479341"/>
          </a:xfrm>
          <a:prstGeom prst="rect">
            <a:avLst/>
          </a:prstGeom>
          <a:ln w="6350">
            <a:solidFill>
              <a:schemeClr val="dk1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cxnSp macro="">
        <xdr:nvCxnSpPr>
          <xdr:cNvPr id="236" name="直線コネクタ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CxnSpPr>
            <a:endCxn id="235" idx="2"/>
          </xdr:cNvCxnSpPr>
        </xdr:nvCxnSpPr>
        <xdr:spPr>
          <a:xfrm>
            <a:off x="3917674" y="6021457"/>
            <a:ext cx="2379" cy="234785"/>
          </a:xfrm>
          <a:prstGeom prst="line">
            <a:avLst/>
          </a:prstGeom>
          <a:ln w="38100">
            <a:solidFill>
              <a:schemeClr val="dk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7" name="直線コネクタ 236">
            <a:extLst>
              <a:ext uri="{FF2B5EF4-FFF2-40B4-BE49-F238E27FC236}">
                <a16:creationId xmlns:a16="http://schemas.microsoft.com/office/drawing/2014/main" id="{00000000-0008-0000-0200-0000ED000000}"/>
              </a:ext>
            </a:extLst>
          </xdr:cNvPr>
          <xdr:cNvCxnSpPr/>
        </xdr:nvCxnSpPr>
        <xdr:spPr>
          <a:xfrm>
            <a:off x="3810000" y="6021457"/>
            <a:ext cx="207065" cy="0"/>
          </a:xfrm>
          <a:prstGeom prst="line">
            <a:avLst/>
          </a:prstGeom>
          <a:ln w="38100">
            <a:solidFill>
              <a:schemeClr val="dk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4</xdr:col>
      <xdr:colOff>276225</xdr:colOff>
      <xdr:row>15</xdr:row>
      <xdr:rowOff>19050</xdr:rowOff>
    </xdr:from>
    <xdr:to>
      <xdr:col>5</xdr:col>
      <xdr:colOff>82603</xdr:colOff>
      <xdr:row>15</xdr:row>
      <xdr:rowOff>319086</xdr:rowOff>
    </xdr:to>
    <xdr:sp macro="" textlink="">
      <xdr:nvSpPr>
        <xdr:cNvPr id="238" name="正方形/長方形 237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SpPr/>
      </xdr:nvSpPr>
      <xdr:spPr>
        <a:xfrm>
          <a:off x="2019300" y="6181725"/>
          <a:ext cx="282628" cy="300036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2</a:t>
          </a:r>
          <a:endParaRPr lang="ja-JP" altLang="en-US" sz="900"/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5</xdr:col>
          <xdr:colOff>0</xdr:colOff>
          <xdr:row>4</xdr:row>
          <xdr:rowOff>9525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レベル１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8196" name="Check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8197" name="Check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7</xdr:row>
          <xdr:rowOff>476250</xdr:rowOff>
        </xdr:from>
        <xdr:to>
          <xdr:col>17</xdr:col>
          <xdr:colOff>0</xdr:colOff>
          <xdr:row>9</xdr:row>
          <xdr:rowOff>0</xdr:rowOff>
        </xdr:to>
        <xdr:sp macro="" textlink="">
          <xdr:nvSpPr>
            <xdr:cNvPr id="8198" name="Check Box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2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9</xdr:row>
          <xdr:rowOff>0</xdr:rowOff>
        </xdr:from>
        <xdr:to>
          <xdr:col>17</xdr:col>
          <xdr:colOff>0</xdr:colOff>
          <xdr:row>10</xdr:row>
          <xdr:rowOff>0</xdr:rowOff>
        </xdr:to>
        <xdr:sp macro="" textlink="">
          <xdr:nvSpPr>
            <xdr:cNvPr id="8199" name="Check Box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8200" name="Check Box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11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8201" name="Check Box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2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12</xdr:row>
          <xdr:rowOff>0</xdr:rowOff>
        </xdr:from>
        <xdr:to>
          <xdr:col>17</xdr:col>
          <xdr:colOff>0</xdr:colOff>
          <xdr:row>13</xdr:row>
          <xdr:rowOff>0</xdr:rowOff>
        </xdr:to>
        <xdr:sp macro="" textlink="">
          <xdr:nvSpPr>
            <xdr:cNvPr id="8202" name="Check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2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8203" name="Check Box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14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8204" name="Check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14</xdr:row>
          <xdr:rowOff>476250</xdr:rowOff>
        </xdr:from>
        <xdr:to>
          <xdr:col>17</xdr:col>
          <xdr:colOff>0</xdr:colOff>
          <xdr:row>16</xdr:row>
          <xdr:rowOff>0</xdr:rowOff>
        </xdr:to>
        <xdr:sp macro="" textlink="">
          <xdr:nvSpPr>
            <xdr:cNvPr id="8205" name="Check Box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8206" name="Check Box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17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8207" name="Check Box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2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18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8208" name="Check Box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2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19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8209" name="Check Box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2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2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2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76200</xdr:colOff>
          <xdr:row>6</xdr:row>
          <xdr:rowOff>0</xdr:rowOff>
        </xdr:from>
        <xdr:to>
          <xdr:col>22</xdr:col>
          <xdr:colOff>0</xdr:colOff>
          <xdr:row>7</xdr:row>
          <xdr:rowOff>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2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6</xdr:row>
          <xdr:rowOff>0</xdr:rowOff>
        </xdr:from>
        <xdr:to>
          <xdr:col>23</xdr:col>
          <xdr:colOff>0</xdr:colOff>
          <xdr:row>7</xdr:row>
          <xdr:rowOff>0</xdr:rowOff>
        </xdr:to>
        <xdr:sp macro="" textlink="">
          <xdr:nvSpPr>
            <xdr:cNvPr id="8213" name="Check Box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2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76200</xdr:colOff>
          <xdr:row>6</xdr:row>
          <xdr:rowOff>0</xdr:rowOff>
        </xdr:from>
        <xdr:to>
          <xdr:col>24</xdr:col>
          <xdr:colOff>0</xdr:colOff>
          <xdr:row>7</xdr:row>
          <xdr:rowOff>0</xdr:rowOff>
        </xdr:to>
        <xdr:sp macro="" textlink="">
          <xdr:nvSpPr>
            <xdr:cNvPr id="8214" name="Check Box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2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76200</xdr:colOff>
          <xdr:row>6</xdr:row>
          <xdr:rowOff>0</xdr:rowOff>
        </xdr:from>
        <xdr:to>
          <xdr:col>25</xdr:col>
          <xdr:colOff>0</xdr:colOff>
          <xdr:row>7</xdr:row>
          <xdr:rowOff>0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2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76200</xdr:colOff>
          <xdr:row>5</xdr:row>
          <xdr:rowOff>0</xdr:rowOff>
        </xdr:from>
        <xdr:to>
          <xdr:col>25</xdr:col>
          <xdr:colOff>0</xdr:colOff>
          <xdr:row>6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2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76200</xdr:colOff>
          <xdr:row>7</xdr:row>
          <xdr:rowOff>0</xdr:rowOff>
        </xdr:from>
        <xdr:to>
          <xdr:col>25</xdr:col>
          <xdr:colOff>0</xdr:colOff>
          <xdr:row>8</xdr:row>
          <xdr:rowOff>0</xdr:rowOff>
        </xdr:to>
        <xdr:sp macro="" textlink="">
          <xdr:nvSpPr>
            <xdr:cNvPr id="8217" name="Check Box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2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76200</xdr:colOff>
          <xdr:row>7</xdr:row>
          <xdr:rowOff>0</xdr:rowOff>
        </xdr:from>
        <xdr:to>
          <xdr:col>24</xdr:col>
          <xdr:colOff>0</xdr:colOff>
          <xdr:row>8</xdr:row>
          <xdr:rowOff>0</xdr:rowOff>
        </xdr:to>
        <xdr:sp macro="" textlink="">
          <xdr:nvSpPr>
            <xdr:cNvPr id="8218" name="Check Box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2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7</xdr:row>
          <xdr:rowOff>0</xdr:rowOff>
        </xdr:from>
        <xdr:to>
          <xdr:col>23</xdr:col>
          <xdr:colOff>0</xdr:colOff>
          <xdr:row>8</xdr:row>
          <xdr:rowOff>0</xdr:rowOff>
        </xdr:to>
        <xdr:sp macro="" textlink="">
          <xdr:nvSpPr>
            <xdr:cNvPr id="8219" name="Check Box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2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76200</xdr:colOff>
          <xdr:row>7</xdr:row>
          <xdr:rowOff>0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8220" name="Check Box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2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76200</xdr:colOff>
          <xdr:row>7</xdr:row>
          <xdr:rowOff>0</xdr:rowOff>
        </xdr:from>
        <xdr:to>
          <xdr:col>21</xdr:col>
          <xdr:colOff>0</xdr:colOff>
          <xdr:row>8</xdr:row>
          <xdr:rowOff>0</xdr:rowOff>
        </xdr:to>
        <xdr:sp macro="" textlink="">
          <xdr:nvSpPr>
            <xdr:cNvPr id="8221" name="Check Box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2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76200</xdr:colOff>
          <xdr:row>8</xdr:row>
          <xdr:rowOff>0</xdr:rowOff>
        </xdr:from>
        <xdr:to>
          <xdr:col>21</xdr:col>
          <xdr:colOff>0</xdr:colOff>
          <xdr:row>9</xdr:row>
          <xdr:rowOff>0</xdr:rowOff>
        </xdr:to>
        <xdr:sp macro="" textlink="">
          <xdr:nvSpPr>
            <xdr:cNvPr id="8222" name="Check Box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2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76200</xdr:colOff>
          <xdr:row>8</xdr:row>
          <xdr:rowOff>0</xdr:rowOff>
        </xdr:from>
        <xdr:to>
          <xdr:col>22</xdr:col>
          <xdr:colOff>0</xdr:colOff>
          <xdr:row>9</xdr:row>
          <xdr:rowOff>0</xdr:rowOff>
        </xdr:to>
        <xdr:sp macro="" textlink="">
          <xdr:nvSpPr>
            <xdr:cNvPr id="8223" name="Check Box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2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8</xdr:row>
          <xdr:rowOff>0</xdr:rowOff>
        </xdr:from>
        <xdr:to>
          <xdr:col>23</xdr:col>
          <xdr:colOff>0</xdr:colOff>
          <xdr:row>9</xdr:row>
          <xdr:rowOff>0</xdr:rowOff>
        </xdr:to>
        <xdr:sp macro="" textlink="">
          <xdr:nvSpPr>
            <xdr:cNvPr id="8224" name="Check Box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2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76200</xdr:colOff>
          <xdr:row>8</xdr:row>
          <xdr:rowOff>0</xdr:rowOff>
        </xdr:from>
        <xdr:to>
          <xdr:col>24</xdr:col>
          <xdr:colOff>0</xdr:colOff>
          <xdr:row>9</xdr:row>
          <xdr:rowOff>0</xdr:rowOff>
        </xdr:to>
        <xdr:sp macro="" textlink="">
          <xdr:nvSpPr>
            <xdr:cNvPr id="8225" name="Check Box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2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76200</xdr:colOff>
          <xdr:row>8</xdr:row>
          <xdr:rowOff>0</xdr:rowOff>
        </xdr:from>
        <xdr:to>
          <xdr:col>25</xdr:col>
          <xdr:colOff>0</xdr:colOff>
          <xdr:row>9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295275</xdr:colOff>
          <xdr:row>14</xdr:row>
          <xdr:rowOff>9525</xdr:rowOff>
        </xdr:from>
        <xdr:to>
          <xdr:col>23</xdr:col>
          <xdr:colOff>180975</xdr:colOff>
          <xdr:row>15</xdr:row>
          <xdr:rowOff>9525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00080" mc:Ignorable="a14" a14:legacySpreadsheetColorIndex="2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10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00080" mc:Ignorable="a14" a14:legacySpreadsheetColorIndex="2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95250</xdr:colOff>
          <xdr:row>10</xdr:row>
          <xdr:rowOff>0</xdr:rowOff>
        </xdr:from>
        <xdr:to>
          <xdr:col>23</xdr:col>
          <xdr:colOff>0</xdr:colOff>
          <xdr:row>11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00080" mc:Ignorable="a14" a14:legacySpreadsheetColorIndex="2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10</xdr:row>
          <xdr:rowOff>0</xdr:rowOff>
        </xdr:from>
        <xdr:to>
          <xdr:col>24</xdr:col>
          <xdr:colOff>0</xdr:colOff>
          <xdr:row>11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00080" mc:Ignorable="a14" a14:legacySpreadsheetColorIndex="2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95250</xdr:colOff>
          <xdr:row>10</xdr:row>
          <xdr:rowOff>0</xdr:rowOff>
        </xdr:from>
        <xdr:to>
          <xdr:col>25</xdr:col>
          <xdr:colOff>0</xdr:colOff>
          <xdr:row>11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00080" mc:Ignorable="a14" a14:legacySpreadsheetColorIndex="2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11</xdr:row>
          <xdr:rowOff>0</xdr:rowOff>
        </xdr:from>
        <xdr:to>
          <xdr:col>22</xdr:col>
          <xdr:colOff>0</xdr:colOff>
          <xdr:row>12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00080" mc:Ignorable="a14" a14:legacySpreadsheetColorIndex="2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12</xdr:row>
          <xdr:rowOff>0</xdr:rowOff>
        </xdr:from>
        <xdr:to>
          <xdr:col>22</xdr:col>
          <xdr:colOff>0</xdr:colOff>
          <xdr:row>13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00080" mc:Ignorable="a14" a14:legacySpreadsheetColorIndex="2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95250</xdr:colOff>
          <xdr:row>12</xdr:row>
          <xdr:rowOff>0</xdr:rowOff>
        </xdr:from>
        <xdr:to>
          <xdr:col>23</xdr:col>
          <xdr:colOff>0</xdr:colOff>
          <xdr:row>13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00080" mc:Ignorable="a14" a14:legacySpreadsheetColorIndex="2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95250</xdr:colOff>
          <xdr:row>11</xdr:row>
          <xdr:rowOff>0</xdr:rowOff>
        </xdr:from>
        <xdr:to>
          <xdr:col>23</xdr:col>
          <xdr:colOff>0</xdr:colOff>
          <xdr:row>12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00080" mc:Ignorable="a14" a14:legacySpreadsheetColorIndex="2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11</xdr:row>
          <xdr:rowOff>0</xdr:rowOff>
        </xdr:from>
        <xdr:to>
          <xdr:col>24</xdr:col>
          <xdr:colOff>0</xdr:colOff>
          <xdr:row>12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00080" mc:Ignorable="a14" a14:legacySpreadsheetColorIndex="2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95250</xdr:colOff>
          <xdr:row>11</xdr:row>
          <xdr:rowOff>0</xdr:rowOff>
        </xdr:from>
        <xdr:to>
          <xdr:col>25</xdr:col>
          <xdr:colOff>0</xdr:colOff>
          <xdr:row>12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00080" mc:Ignorable="a14" a14:legacySpreadsheetColorIndex="2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95250</xdr:colOff>
          <xdr:row>12</xdr:row>
          <xdr:rowOff>0</xdr:rowOff>
        </xdr:from>
        <xdr:to>
          <xdr:col>25</xdr:col>
          <xdr:colOff>0</xdr:colOff>
          <xdr:row>13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00080" mc:Ignorable="a14" a14:legacySpreadsheetColorIndex="2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12</xdr:row>
          <xdr:rowOff>0</xdr:rowOff>
        </xdr:from>
        <xdr:to>
          <xdr:col>24</xdr:col>
          <xdr:colOff>0</xdr:colOff>
          <xdr:row>13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00080" mc:Ignorable="a14" a14:legacySpreadsheetColorIndex="2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33</xdr:col>
      <xdr:colOff>66675</xdr:colOff>
      <xdr:row>7</xdr:row>
      <xdr:rowOff>19050</xdr:rowOff>
    </xdr:from>
    <xdr:to>
      <xdr:col>34</xdr:col>
      <xdr:colOff>495300</xdr:colOff>
      <xdr:row>8</xdr:row>
      <xdr:rowOff>19050</xdr:rowOff>
    </xdr:to>
    <xdr:sp macro="[0]!新記録用紙印刷NL" textlink="">
      <xdr:nvSpPr>
        <xdr:cNvPr id="286" name="AutoShape 4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>
          <a:spLocks noChangeArrowheads="1"/>
        </xdr:cNvSpPr>
      </xdr:nvSpPr>
      <xdr:spPr bwMode="auto">
        <a:xfrm>
          <a:off x="13315950" y="2371725"/>
          <a:ext cx="1114425" cy="4762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差し込み印刷</a:t>
          </a:r>
        </a:p>
      </xdr:txBody>
    </xdr:sp>
    <xdr:clientData/>
  </xdr:twoCellAnchor>
  <xdr:twoCellAnchor editAs="oneCell">
    <xdr:from>
      <xdr:col>4</xdr:col>
      <xdr:colOff>298397</xdr:colOff>
      <xdr:row>16</xdr:row>
      <xdr:rowOff>0</xdr:rowOff>
    </xdr:from>
    <xdr:to>
      <xdr:col>5</xdr:col>
      <xdr:colOff>104775</xdr:colOff>
      <xdr:row>16</xdr:row>
      <xdr:rowOff>300036</xdr:rowOff>
    </xdr:to>
    <xdr:sp macro="" textlink="">
      <xdr:nvSpPr>
        <xdr:cNvPr id="290" name="正方形/長方形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/>
      </xdr:nvSpPr>
      <xdr:spPr>
        <a:xfrm>
          <a:off x="2041472" y="6638925"/>
          <a:ext cx="282628" cy="300036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1</a:t>
          </a:r>
          <a:endParaRPr lang="ja-JP" altLang="en-US" sz="900"/>
        </a:p>
      </xdr:txBody>
    </xdr:sp>
    <xdr:clientData fLocksWithSheet="0"/>
  </xdr:twoCellAnchor>
  <xdr:twoCellAnchor>
    <xdr:from>
      <xdr:col>13</xdr:col>
      <xdr:colOff>2071</xdr:colOff>
      <xdr:row>4</xdr:row>
      <xdr:rowOff>283679</xdr:rowOff>
    </xdr:from>
    <xdr:to>
      <xdr:col>14</xdr:col>
      <xdr:colOff>1021</xdr:colOff>
      <xdr:row>6</xdr:row>
      <xdr:rowOff>1020</xdr:rowOff>
    </xdr:to>
    <xdr:grpSp>
      <xdr:nvGrpSpPr>
        <xdr:cNvPr id="291" name="グループ化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GrpSpPr/>
      </xdr:nvGrpSpPr>
      <xdr:grpSpPr>
        <a:xfrm rot="5400000">
          <a:off x="5610225" y="1400175"/>
          <a:ext cx="479341" cy="475200"/>
          <a:chOff x="2219285" y="5430191"/>
          <a:chExt cx="475200" cy="475200"/>
        </a:xfrm>
      </xdr:grpSpPr>
      <xdr:grpSp>
        <xdr:nvGrpSpPr>
          <xdr:cNvPr id="292" name="グループ化 291">
            <a:extLst>
              <a:ext uri="{FF2B5EF4-FFF2-40B4-BE49-F238E27FC236}">
                <a16:creationId xmlns:a16="http://schemas.microsoft.com/office/drawing/2014/main" id="{00000000-0008-0000-0200-000024010000}"/>
              </a:ext>
            </a:extLst>
          </xdr:cNvPr>
          <xdr:cNvGrpSpPr/>
        </xdr:nvGrpSpPr>
        <xdr:grpSpPr>
          <a:xfrm>
            <a:off x="2219285" y="5430191"/>
            <a:ext cx="475200" cy="475200"/>
            <a:chOff x="2230082" y="5430191"/>
            <a:chExt cx="468000" cy="468000"/>
          </a:xfrm>
        </xdr:grpSpPr>
        <xdr:sp macro="" textlink="">
          <xdr:nvSpPr>
            <xdr:cNvPr id="294" name="正方形/長方形 293">
              <a:extLst>
                <a:ext uri="{FF2B5EF4-FFF2-40B4-BE49-F238E27FC236}">
                  <a16:creationId xmlns:a16="http://schemas.microsoft.com/office/drawing/2014/main" id="{00000000-0008-0000-0200-000026010000}"/>
                </a:ext>
              </a:extLst>
            </xdr:cNvPr>
            <xdr:cNvSpPr/>
          </xdr:nvSpPr>
          <xdr:spPr>
            <a:xfrm>
              <a:off x="2230082" y="5430191"/>
              <a:ext cx="468000" cy="468000"/>
            </a:xfrm>
            <a:prstGeom prst="rect">
              <a:avLst/>
            </a:prstGeom>
            <a:ln w="635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endParaRPr lang="ja-JP" altLang="en-US"/>
            </a:p>
          </xdr:txBody>
        </xdr:sp>
        <xdr:cxnSp macro="">
          <xdr:nvCxnSpPr>
            <xdr:cNvPr id="295" name="直線コネクタ 294">
              <a:extLst>
                <a:ext uri="{FF2B5EF4-FFF2-40B4-BE49-F238E27FC236}">
                  <a16:creationId xmlns:a16="http://schemas.microsoft.com/office/drawing/2014/main" id="{00000000-0008-0000-0200-000027010000}"/>
                </a:ext>
              </a:extLst>
            </xdr:cNvPr>
            <xdr:cNvCxnSpPr>
              <a:stCxn id="294" idx="3"/>
              <a:endCxn id="294" idx="1"/>
            </xdr:cNvCxnSpPr>
          </xdr:nvCxnSpPr>
          <xdr:spPr>
            <a:xfrm flipH="1">
              <a:off x="2230082" y="5664191"/>
              <a:ext cx="468000" cy="0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293" name="正方形/長方形 292">
            <a:extLst>
              <a:ext uri="{FF2B5EF4-FFF2-40B4-BE49-F238E27FC236}">
                <a16:creationId xmlns:a16="http://schemas.microsoft.com/office/drawing/2014/main" id="{00000000-0008-0000-0200-000025010000}"/>
              </a:ext>
            </a:extLst>
          </xdr:cNvPr>
          <xdr:cNvSpPr/>
        </xdr:nvSpPr>
        <xdr:spPr>
          <a:xfrm>
            <a:off x="2329574" y="5500795"/>
            <a:ext cx="249503" cy="29480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</xdr:grpSp>
    <xdr:clientData/>
  </xdr:twoCellAnchor>
  <xdr:twoCellAnchor>
    <xdr:from>
      <xdr:col>13</xdr:col>
      <xdr:colOff>5191</xdr:colOff>
      <xdr:row>6</xdr:row>
      <xdr:rowOff>1050</xdr:rowOff>
    </xdr:from>
    <xdr:to>
      <xdr:col>14</xdr:col>
      <xdr:colOff>0</xdr:colOff>
      <xdr:row>7</xdr:row>
      <xdr:rowOff>0</xdr:rowOff>
    </xdr:to>
    <xdr:grpSp>
      <xdr:nvGrpSpPr>
        <xdr:cNvPr id="296" name="グループ化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GrpSpPr/>
      </xdr:nvGrpSpPr>
      <xdr:grpSpPr>
        <a:xfrm>
          <a:off x="5615416" y="1877475"/>
          <a:ext cx="471059" cy="475200"/>
          <a:chOff x="1749249" y="5461419"/>
          <a:chExt cx="477921" cy="477922"/>
        </a:xfrm>
      </xdr:grpSpPr>
      <xdr:grpSp>
        <xdr:nvGrpSpPr>
          <xdr:cNvPr id="297" name="グループ化 296">
            <a:extLst>
              <a:ext uri="{FF2B5EF4-FFF2-40B4-BE49-F238E27FC236}">
                <a16:creationId xmlns:a16="http://schemas.microsoft.com/office/drawing/2014/main" id="{00000000-0008-0000-0200-000029010000}"/>
              </a:ext>
            </a:extLst>
          </xdr:cNvPr>
          <xdr:cNvGrpSpPr/>
        </xdr:nvGrpSpPr>
        <xdr:grpSpPr>
          <a:xfrm>
            <a:off x="1749249" y="5461419"/>
            <a:ext cx="477921" cy="477922"/>
            <a:chOff x="1748962" y="5433775"/>
            <a:chExt cx="468406" cy="468000"/>
          </a:xfrm>
        </xdr:grpSpPr>
        <xdr:sp macro="" textlink="">
          <xdr:nvSpPr>
            <xdr:cNvPr id="299" name="正方形/長方形 298">
              <a:extLst>
                <a:ext uri="{FF2B5EF4-FFF2-40B4-BE49-F238E27FC236}">
                  <a16:creationId xmlns:a16="http://schemas.microsoft.com/office/drawing/2014/main" id="{00000000-0008-0000-0200-00002B010000}"/>
                </a:ext>
              </a:extLst>
            </xdr:cNvPr>
            <xdr:cNvSpPr/>
          </xdr:nvSpPr>
          <xdr:spPr>
            <a:xfrm rot="16200000">
              <a:off x="1749165" y="5433572"/>
              <a:ext cx="468000" cy="468406"/>
            </a:xfrm>
            <a:prstGeom prst="rect">
              <a:avLst/>
            </a:prstGeom>
            <a:ln w="635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endParaRPr lang="ja-JP" altLang="en-US"/>
            </a:p>
          </xdr:txBody>
        </xdr:sp>
        <xdr:cxnSp macro="">
          <xdr:nvCxnSpPr>
            <xdr:cNvPr id="300" name="直線コネクタ 299">
              <a:extLst>
                <a:ext uri="{FF2B5EF4-FFF2-40B4-BE49-F238E27FC236}">
                  <a16:creationId xmlns:a16="http://schemas.microsoft.com/office/drawing/2014/main" id="{00000000-0008-0000-0200-00002C010000}"/>
                </a:ext>
              </a:extLst>
            </xdr:cNvPr>
            <xdr:cNvCxnSpPr>
              <a:stCxn id="299" idx="0"/>
              <a:endCxn id="299" idx="2"/>
            </xdr:cNvCxnSpPr>
          </xdr:nvCxnSpPr>
          <xdr:spPr>
            <a:xfrm rot="16200000">
              <a:off x="1983165" y="5433572"/>
              <a:ext cx="0" cy="468406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301" name="直線コネクタ 300">
              <a:extLst>
                <a:ext uri="{FF2B5EF4-FFF2-40B4-BE49-F238E27FC236}">
                  <a16:creationId xmlns:a16="http://schemas.microsoft.com/office/drawing/2014/main" id="{00000000-0008-0000-0200-00002D010000}"/>
                </a:ext>
              </a:extLst>
            </xdr:cNvPr>
            <xdr:cNvCxnSpPr>
              <a:stCxn id="299" idx="1"/>
            </xdr:cNvCxnSpPr>
          </xdr:nvCxnSpPr>
          <xdr:spPr>
            <a:xfrm rot="16200000">
              <a:off x="1860895" y="5778669"/>
              <a:ext cx="245376" cy="836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298" name="正方形/長方形 297">
            <a:extLst>
              <a:ext uri="{FF2B5EF4-FFF2-40B4-BE49-F238E27FC236}">
                <a16:creationId xmlns:a16="http://schemas.microsoft.com/office/drawing/2014/main" id="{00000000-0008-0000-0200-00002A010000}"/>
              </a:ext>
            </a:extLst>
          </xdr:cNvPr>
          <xdr:cNvSpPr/>
        </xdr:nvSpPr>
        <xdr:spPr>
          <a:xfrm>
            <a:off x="1891183" y="5731119"/>
            <a:ext cx="72000" cy="73269"/>
          </a:xfrm>
          <a:prstGeom prst="rect">
            <a:avLst/>
          </a:prstGeom>
          <a:solidFill>
            <a:schemeClr val="accent6"/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oneCellAnchor>
    <xdr:from>
      <xdr:col>13</xdr:col>
      <xdr:colOff>52755</xdr:colOff>
      <xdr:row>7</xdr:row>
      <xdr:rowOff>74001</xdr:rowOff>
    </xdr:from>
    <xdr:ext cx="300404" cy="307731"/>
    <xdr:sp macro="" textlink="">
      <xdr:nvSpPr>
        <xdr:cNvPr id="302" name="矢印: 折線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/>
      </xdr:nvSpPr>
      <xdr:spPr>
        <a:xfrm rot="10800000" flipV="1">
          <a:off x="5662980" y="5760426"/>
          <a:ext cx="300404" cy="307731"/>
        </a:xfrm>
        <a:prstGeom prst="ben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oneCellAnchor>
  <xdr:oneCellAnchor>
    <xdr:from>
      <xdr:col>13</xdr:col>
      <xdr:colOff>101112</xdr:colOff>
      <xdr:row>8</xdr:row>
      <xdr:rowOff>126753</xdr:rowOff>
    </xdr:from>
    <xdr:ext cx="300404" cy="300404"/>
    <xdr:sp macro="" textlink="">
      <xdr:nvSpPr>
        <xdr:cNvPr id="303" name="矢印: 折線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/>
      </xdr:nvSpPr>
      <xdr:spPr>
        <a:xfrm>
          <a:off x="5711337" y="6289428"/>
          <a:ext cx="300404" cy="300404"/>
        </a:xfrm>
        <a:prstGeom prst="bentArrow">
          <a:avLst>
            <a:gd name="adj1" fmla="val 27439"/>
            <a:gd name="adj2" fmla="val 25000"/>
            <a:gd name="adj3" fmla="val 25000"/>
            <a:gd name="adj4" fmla="val 43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oneCellAnchor>
  <xdr:twoCellAnchor>
    <xdr:from>
      <xdr:col>13</xdr:col>
      <xdr:colOff>5191</xdr:colOff>
      <xdr:row>10</xdr:row>
      <xdr:rowOff>1049</xdr:rowOff>
    </xdr:from>
    <xdr:to>
      <xdr:col>14</xdr:col>
      <xdr:colOff>0</xdr:colOff>
      <xdr:row>11</xdr:row>
      <xdr:rowOff>4141</xdr:rowOff>
    </xdr:to>
    <xdr:grpSp>
      <xdr:nvGrpSpPr>
        <xdr:cNvPr id="304" name="グループ化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GrpSpPr/>
      </xdr:nvGrpSpPr>
      <xdr:grpSpPr>
        <a:xfrm>
          <a:off x="5615416" y="3782474"/>
          <a:ext cx="471059" cy="479342"/>
          <a:chOff x="5655236" y="6785756"/>
          <a:chExt cx="475200" cy="475201"/>
        </a:xfrm>
      </xdr:grpSpPr>
      <xdr:grpSp>
        <xdr:nvGrpSpPr>
          <xdr:cNvPr id="305" name="グループ化 304">
            <a:extLst>
              <a:ext uri="{FF2B5EF4-FFF2-40B4-BE49-F238E27FC236}">
                <a16:creationId xmlns:a16="http://schemas.microsoft.com/office/drawing/2014/main" id="{00000000-0008-0000-0200-000031010000}"/>
              </a:ext>
            </a:extLst>
          </xdr:cNvPr>
          <xdr:cNvGrpSpPr/>
        </xdr:nvGrpSpPr>
        <xdr:grpSpPr>
          <a:xfrm>
            <a:off x="5655236" y="6785756"/>
            <a:ext cx="475200" cy="475201"/>
            <a:chOff x="1248593" y="4079536"/>
            <a:chExt cx="466726" cy="472329"/>
          </a:xfrm>
        </xdr:grpSpPr>
        <xdr:sp macro="" textlink="">
          <xdr:nvSpPr>
            <xdr:cNvPr id="307" name="正方形/長方形 306">
              <a:extLst>
                <a:ext uri="{FF2B5EF4-FFF2-40B4-BE49-F238E27FC236}">
                  <a16:creationId xmlns:a16="http://schemas.microsoft.com/office/drawing/2014/main" id="{00000000-0008-0000-0200-000033010000}"/>
                </a:ext>
              </a:extLst>
            </xdr:cNvPr>
            <xdr:cNvSpPr/>
          </xdr:nvSpPr>
          <xdr:spPr>
            <a:xfrm>
              <a:off x="1248593" y="4079537"/>
              <a:ext cx="466726" cy="472328"/>
            </a:xfrm>
            <a:prstGeom prst="rect">
              <a:avLst/>
            </a:prstGeom>
            <a:ln w="635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endParaRPr lang="ja-JP" altLang="en-US"/>
            </a:p>
          </xdr:txBody>
        </xdr:sp>
        <xdr:cxnSp macro="">
          <xdr:nvCxnSpPr>
            <xdr:cNvPr id="308" name="直線コネクタ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CxnSpPr>
              <a:stCxn id="307" idx="0"/>
              <a:endCxn id="307" idx="2"/>
            </xdr:cNvCxnSpPr>
          </xdr:nvCxnSpPr>
          <xdr:spPr>
            <a:xfrm>
              <a:off x="1481956" y="4079536"/>
              <a:ext cx="0" cy="472328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306" name="直方体 305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SpPr/>
        </xdr:nvSpPr>
        <xdr:spPr>
          <a:xfrm rot="16200000" flipH="1">
            <a:off x="5866979" y="6855394"/>
            <a:ext cx="48609" cy="358092"/>
          </a:xfrm>
          <a:prstGeom prst="cube">
            <a:avLst/>
          </a:prstGeom>
          <a:solidFill>
            <a:schemeClr val="bg1">
              <a:lumMod val="95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13</xdr:col>
      <xdr:colOff>0</xdr:colOff>
      <xdr:row>11</xdr:row>
      <xdr:rowOff>1051</xdr:rowOff>
    </xdr:from>
    <xdr:to>
      <xdr:col>14</xdr:col>
      <xdr:colOff>3091</xdr:colOff>
      <xdr:row>12</xdr:row>
      <xdr:rowOff>0</xdr:rowOff>
    </xdr:to>
    <xdr:grpSp>
      <xdr:nvGrpSpPr>
        <xdr:cNvPr id="309" name="グループ化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pSpPr/>
      </xdr:nvGrpSpPr>
      <xdr:grpSpPr>
        <a:xfrm>
          <a:off x="5610225" y="4258726"/>
          <a:ext cx="479341" cy="475199"/>
          <a:chOff x="1765037" y="4493910"/>
          <a:chExt cx="457202" cy="472328"/>
        </a:xfrm>
      </xdr:grpSpPr>
      <xdr:sp macro="" textlink="">
        <xdr:nvSpPr>
          <xdr:cNvPr id="310" name="正方形/長方形 309">
            <a:extLst>
              <a:ext uri="{FF2B5EF4-FFF2-40B4-BE49-F238E27FC236}">
                <a16:creationId xmlns:a16="http://schemas.microsoft.com/office/drawing/2014/main" id="{00000000-0008-0000-0200-000036010000}"/>
              </a:ext>
            </a:extLst>
          </xdr:cNvPr>
          <xdr:cNvSpPr/>
        </xdr:nvSpPr>
        <xdr:spPr>
          <a:xfrm>
            <a:off x="1765037" y="4493910"/>
            <a:ext cx="457202" cy="472328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cxnSp macro="">
        <xdr:nvCxnSpPr>
          <xdr:cNvPr id="311" name="直線コネクタ 310">
            <a:extLst>
              <a:ext uri="{FF2B5EF4-FFF2-40B4-BE49-F238E27FC236}">
                <a16:creationId xmlns:a16="http://schemas.microsoft.com/office/drawing/2014/main" id="{00000000-0008-0000-0200-000037010000}"/>
              </a:ext>
            </a:extLst>
          </xdr:cNvPr>
          <xdr:cNvCxnSpPr>
            <a:stCxn id="310" idx="3"/>
            <a:endCxn id="310" idx="1"/>
          </xdr:cNvCxnSpPr>
        </xdr:nvCxnSpPr>
        <xdr:spPr>
          <a:xfrm flipH="1">
            <a:off x="1765037" y="4730074"/>
            <a:ext cx="457202" cy="0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oneCellAnchor>
    <xdr:from>
      <xdr:col>13</xdr:col>
      <xdr:colOff>110062</xdr:colOff>
      <xdr:row>11</xdr:row>
      <xdr:rowOff>63746</xdr:rowOff>
    </xdr:from>
    <xdr:ext cx="251157" cy="292530"/>
    <xdr:sp macro="" textlink="">
      <xdr:nvSpPr>
        <xdr:cNvPr id="312" name="直方体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/>
      </xdr:nvSpPr>
      <xdr:spPr>
        <a:xfrm rot="5400000" flipH="1">
          <a:off x="5699601" y="7675857"/>
          <a:ext cx="292530" cy="251157"/>
        </a:xfrm>
        <a:prstGeom prst="cube">
          <a:avLst/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oneCellAnchor>
  <xdr:twoCellAnchor>
    <xdr:from>
      <xdr:col>13</xdr:col>
      <xdr:colOff>1050</xdr:colOff>
      <xdr:row>12</xdr:row>
      <xdr:rowOff>0</xdr:rowOff>
    </xdr:from>
    <xdr:to>
      <xdr:col>14</xdr:col>
      <xdr:colOff>0</xdr:colOff>
      <xdr:row>13</xdr:row>
      <xdr:rowOff>3091</xdr:rowOff>
    </xdr:to>
    <xdr:grpSp>
      <xdr:nvGrpSpPr>
        <xdr:cNvPr id="313" name="グループ化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GrpSpPr/>
      </xdr:nvGrpSpPr>
      <xdr:grpSpPr>
        <a:xfrm>
          <a:off x="5611275" y="4733925"/>
          <a:ext cx="475200" cy="479341"/>
          <a:chOff x="1754038" y="3550976"/>
          <a:chExt cx="477921" cy="477921"/>
        </a:xfrm>
      </xdr:grpSpPr>
      <xdr:grpSp>
        <xdr:nvGrpSpPr>
          <xdr:cNvPr id="314" name="グループ化 313">
            <a:extLst>
              <a:ext uri="{FF2B5EF4-FFF2-40B4-BE49-F238E27FC236}">
                <a16:creationId xmlns:a16="http://schemas.microsoft.com/office/drawing/2014/main" id="{00000000-0008-0000-0200-00003A010000}"/>
              </a:ext>
            </a:extLst>
          </xdr:cNvPr>
          <xdr:cNvGrpSpPr/>
        </xdr:nvGrpSpPr>
        <xdr:grpSpPr>
          <a:xfrm>
            <a:off x="1754038" y="3550976"/>
            <a:ext cx="477921" cy="477921"/>
            <a:chOff x="1821212" y="3561574"/>
            <a:chExt cx="462804" cy="462920"/>
          </a:xfrm>
        </xdr:grpSpPr>
        <xdr:sp macro="" textlink="">
          <xdr:nvSpPr>
            <xdr:cNvPr id="316" name="正方形/長方形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SpPr/>
          </xdr:nvSpPr>
          <xdr:spPr>
            <a:xfrm rot="16200000">
              <a:off x="1821154" y="3561632"/>
              <a:ext cx="462920" cy="462804"/>
            </a:xfrm>
            <a:prstGeom prst="rect">
              <a:avLst/>
            </a:prstGeom>
            <a:ln w="635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endParaRPr lang="ja-JP" altLang="en-US"/>
            </a:p>
          </xdr:txBody>
        </xdr:sp>
        <xdr:cxnSp macro="">
          <xdr:nvCxnSpPr>
            <xdr:cNvPr id="317" name="直線コネクタ 316">
              <a:extLst>
                <a:ext uri="{FF2B5EF4-FFF2-40B4-BE49-F238E27FC236}">
                  <a16:creationId xmlns:a16="http://schemas.microsoft.com/office/drawing/2014/main" id="{00000000-0008-0000-0200-00003D010000}"/>
                </a:ext>
              </a:extLst>
            </xdr:cNvPr>
            <xdr:cNvCxnSpPr>
              <a:stCxn id="316" idx="0"/>
              <a:endCxn id="316" idx="2"/>
            </xdr:cNvCxnSpPr>
          </xdr:nvCxnSpPr>
          <xdr:spPr>
            <a:xfrm rot="16200000">
              <a:off x="2052614" y="3561632"/>
              <a:ext cx="0" cy="462804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318" name="直線コネクタ 317">
              <a:extLst>
                <a:ext uri="{FF2B5EF4-FFF2-40B4-BE49-F238E27FC236}">
                  <a16:creationId xmlns:a16="http://schemas.microsoft.com/office/drawing/2014/main" id="{00000000-0008-0000-0200-00003E010000}"/>
                </a:ext>
              </a:extLst>
            </xdr:cNvPr>
            <xdr:cNvCxnSpPr>
              <a:stCxn id="316" idx="1"/>
            </xdr:cNvCxnSpPr>
          </xdr:nvCxnSpPr>
          <xdr:spPr>
            <a:xfrm rot="16200000">
              <a:off x="1931671" y="3902725"/>
              <a:ext cx="242712" cy="826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315" name="正方形/長方形 314">
            <a:extLst>
              <a:ext uri="{FF2B5EF4-FFF2-40B4-BE49-F238E27FC236}">
                <a16:creationId xmlns:a16="http://schemas.microsoft.com/office/drawing/2014/main" id="{00000000-0008-0000-0200-00003B010000}"/>
              </a:ext>
            </a:extLst>
          </xdr:cNvPr>
          <xdr:cNvSpPr/>
        </xdr:nvSpPr>
        <xdr:spPr>
          <a:xfrm>
            <a:off x="2027255" y="3815233"/>
            <a:ext cx="72000" cy="73269"/>
          </a:xfrm>
          <a:prstGeom prst="rect">
            <a:avLst/>
          </a:prstGeom>
          <a:solidFill>
            <a:schemeClr val="accent6"/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13</xdr:col>
      <xdr:colOff>0</xdr:colOff>
      <xdr:row>9</xdr:row>
      <xdr:rowOff>0</xdr:rowOff>
    </xdr:from>
    <xdr:to>
      <xdr:col>13</xdr:col>
      <xdr:colOff>475200</xdr:colOff>
      <xdr:row>10</xdr:row>
      <xdr:rowOff>3091</xdr:rowOff>
    </xdr:to>
    <xdr:grpSp>
      <xdr:nvGrpSpPr>
        <xdr:cNvPr id="319" name="グループ化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pSpPr/>
      </xdr:nvGrpSpPr>
      <xdr:grpSpPr>
        <a:xfrm>
          <a:off x="5610225" y="3305175"/>
          <a:ext cx="475200" cy="479341"/>
          <a:chOff x="1344903" y="3628868"/>
          <a:chExt cx="462920" cy="462803"/>
        </a:xfrm>
      </xdr:grpSpPr>
      <xdr:sp macro="" textlink="">
        <xdr:nvSpPr>
          <xdr:cNvPr id="320" name="正方形/長方形 319">
            <a:extLst>
              <a:ext uri="{FF2B5EF4-FFF2-40B4-BE49-F238E27FC236}">
                <a16:creationId xmlns:a16="http://schemas.microsoft.com/office/drawing/2014/main" id="{00000000-0008-0000-0200-000040010000}"/>
              </a:ext>
            </a:extLst>
          </xdr:cNvPr>
          <xdr:cNvSpPr/>
        </xdr:nvSpPr>
        <xdr:spPr>
          <a:xfrm rot="10800000">
            <a:off x="1344903" y="3628868"/>
            <a:ext cx="462920" cy="462803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cxnSp macro="">
        <xdr:nvCxnSpPr>
          <xdr:cNvPr id="321" name="直線コネクタ 320">
            <a:extLst>
              <a:ext uri="{FF2B5EF4-FFF2-40B4-BE49-F238E27FC236}">
                <a16:creationId xmlns:a16="http://schemas.microsoft.com/office/drawing/2014/main" id="{00000000-0008-0000-0200-000041010000}"/>
              </a:ext>
            </a:extLst>
          </xdr:cNvPr>
          <xdr:cNvCxnSpPr>
            <a:stCxn id="320" idx="0"/>
            <a:endCxn id="320" idx="2"/>
          </xdr:cNvCxnSpPr>
        </xdr:nvCxnSpPr>
        <xdr:spPr>
          <a:xfrm rot="10800000">
            <a:off x="1576363" y="3628868"/>
            <a:ext cx="0" cy="462803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22" name="直線コネクタ 321">
            <a:extLst>
              <a:ext uri="{FF2B5EF4-FFF2-40B4-BE49-F238E27FC236}">
                <a16:creationId xmlns:a16="http://schemas.microsoft.com/office/drawing/2014/main" id="{00000000-0008-0000-0200-000042010000}"/>
              </a:ext>
            </a:extLst>
          </xdr:cNvPr>
          <xdr:cNvCxnSpPr>
            <a:stCxn id="320" idx="1"/>
          </xdr:cNvCxnSpPr>
        </xdr:nvCxnSpPr>
        <xdr:spPr>
          <a:xfrm rot="10800000">
            <a:off x="1565111" y="3859443"/>
            <a:ext cx="242712" cy="826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75585</xdr:colOff>
      <xdr:row>6</xdr:row>
      <xdr:rowOff>123401</xdr:rowOff>
    </xdr:from>
    <xdr:to>
      <xdr:col>13</xdr:col>
      <xdr:colOff>390642</xdr:colOff>
      <xdr:row>6</xdr:row>
      <xdr:rowOff>130728</xdr:rowOff>
    </xdr:to>
    <xdr:cxnSp macro="">
      <xdr:nvCxnSpPr>
        <xdr:cNvPr id="323" name="直線矢印コネクタ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CxnSpPr/>
      </xdr:nvCxnSpPr>
      <xdr:spPr>
        <a:xfrm flipH="1">
          <a:off x="5685810" y="5333576"/>
          <a:ext cx="315057" cy="732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105276</xdr:colOff>
      <xdr:row>9</xdr:row>
      <xdr:rowOff>110290</xdr:rowOff>
    </xdr:from>
    <xdr:to>
      <xdr:col>13</xdr:col>
      <xdr:colOff>110289</xdr:colOff>
      <xdr:row>9</xdr:row>
      <xdr:rowOff>406066</xdr:rowOff>
    </xdr:to>
    <xdr:cxnSp macro="">
      <xdr:nvCxnSpPr>
        <xdr:cNvPr id="324" name="直線矢印コネクタ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CxnSpPr/>
      </xdr:nvCxnSpPr>
      <xdr:spPr>
        <a:xfrm>
          <a:off x="5715501" y="6749215"/>
          <a:ext cx="5013" cy="29577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100263</xdr:colOff>
      <xdr:row>12</xdr:row>
      <xdr:rowOff>150396</xdr:rowOff>
    </xdr:from>
    <xdr:to>
      <xdr:col>13</xdr:col>
      <xdr:colOff>416092</xdr:colOff>
      <xdr:row>12</xdr:row>
      <xdr:rowOff>386014</xdr:rowOff>
    </xdr:to>
    <xdr:cxnSp macro="">
      <xdr:nvCxnSpPr>
        <xdr:cNvPr id="325" name="コネクタ: カギ線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CxnSpPr/>
      </xdr:nvCxnSpPr>
      <xdr:spPr>
        <a:xfrm flipV="1">
          <a:off x="5710488" y="8218071"/>
          <a:ext cx="315829" cy="235618"/>
        </a:xfrm>
        <a:prstGeom prst="bentConnector3">
          <a:avLst>
            <a:gd name="adj1" fmla="val 2381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257175</xdr:colOff>
          <xdr:row>12</xdr:row>
          <xdr:rowOff>152400</xdr:rowOff>
        </xdr:from>
        <xdr:to>
          <xdr:col>35</xdr:col>
          <xdr:colOff>419100</xdr:colOff>
          <xdr:row>13</xdr:row>
          <xdr:rowOff>114300</xdr:rowOff>
        </xdr:to>
        <xdr:sp macro="" textlink="">
          <xdr:nvSpPr>
            <xdr:cNvPr id="8240" name="Button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得点転記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257175</xdr:colOff>
          <xdr:row>14</xdr:row>
          <xdr:rowOff>152400</xdr:rowOff>
        </xdr:from>
        <xdr:to>
          <xdr:col>35</xdr:col>
          <xdr:colOff>419100</xdr:colOff>
          <xdr:row>15</xdr:row>
          <xdr:rowOff>114300</xdr:rowOff>
        </xdr:to>
        <xdr:sp macro="" textlink="">
          <xdr:nvSpPr>
            <xdr:cNvPr id="8241" name="Button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65555</xdr:colOff>
      <xdr:row>21</xdr:row>
      <xdr:rowOff>108179</xdr:rowOff>
    </xdr:from>
    <xdr:to>
      <xdr:col>6</xdr:col>
      <xdr:colOff>64505</xdr:colOff>
      <xdr:row>23</xdr:row>
      <xdr:rowOff>11879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286384" y="8680679"/>
          <a:ext cx="475200" cy="4752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ja-JP" altLang="en-US"/>
        </a:p>
      </xdr:txBody>
    </xdr:sp>
    <xdr:clientData/>
  </xdr:twoCellAnchor>
  <xdr:twoCellAnchor editAs="oneCell">
    <xdr:from>
      <xdr:col>7</xdr:col>
      <xdr:colOff>166136</xdr:colOff>
      <xdr:row>24</xdr:row>
      <xdr:rowOff>129217</xdr:rowOff>
    </xdr:from>
    <xdr:to>
      <xdr:col>8</xdr:col>
      <xdr:colOff>165086</xdr:colOff>
      <xdr:row>26</xdr:row>
      <xdr:rowOff>32917</xdr:rowOff>
    </xdr:to>
    <xdr:grpSp>
      <xdr:nvGrpSpPr>
        <xdr:cNvPr id="15" name="グループ化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pSpPr/>
      </xdr:nvGrpSpPr>
      <xdr:grpSpPr>
        <a:xfrm>
          <a:off x="3337961" y="9816142"/>
          <a:ext cx="475200" cy="475200"/>
          <a:chOff x="3363223" y="9654218"/>
          <a:chExt cx="470867" cy="475008"/>
        </a:xfrm>
      </xdr:grpSpPr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3363223" y="9654218"/>
            <a:ext cx="470867" cy="475008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cxnSp macro="">
        <xdr:nvCxnSpPr>
          <xdr:cNvPr id="6" name="直線コネクタ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CxnSpPr>
            <a:stCxn id="4" idx="3"/>
            <a:endCxn id="4" idx="1"/>
          </xdr:cNvCxnSpPr>
        </xdr:nvCxnSpPr>
        <xdr:spPr>
          <a:xfrm flipH="1">
            <a:off x="3363223" y="9891722"/>
            <a:ext cx="470867" cy="0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11</xdr:col>
      <xdr:colOff>113784</xdr:colOff>
      <xdr:row>24</xdr:row>
      <xdr:rowOff>98274</xdr:rowOff>
    </xdr:from>
    <xdr:to>
      <xdr:col>12</xdr:col>
      <xdr:colOff>273155</xdr:colOff>
      <xdr:row>26</xdr:row>
      <xdr:rowOff>1974</xdr:rowOff>
    </xdr:to>
    <xdr:grpSp>
      <xdr:nvGrpSpPr>
        <xdr:cNvPr id="68" name="グループ化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GrpSpPr/>
      </xdr:nvGrpSpPr>
      <xdr:grpSpPr>
        <a:xfrm>
          <a:off x="5028684" y="9785199"/>
          <a:ext cx="473696" cy="475200"/>
          <a:chOff x="5041624" y="9569359"/>
          <a:chExt cx="468523" cy="470319"/>
        </a:xfrm>
      </xdr:grpSpPr>
      <xdr:sp macro="" textlink="">
        <xdr:nvSpPr>
          <xdr:cNvPr id="63" name="正方形/長方形 62">
            <a:extLst>
              <a:ext uri="{FF2B5EF4-FFF2-40B4-BE49-F238E27FC236}">
                <a16:creationId xmlns:a16="http://schemas.microsoft.com/office/drawing/2014/main" id="{00000000-0008-0000-0300-00003F000000}"/>
              </a:ext>
            </a:extLst>
          </xdr:cNvPr>
          <xdr:cNvSpPr/>
        </xdr:nvSpPr>
        <xdr:spPr>
          <a:xfrm>
            <a:off x="5041624" y="9569359"/>
            <a:ext cx="468523" cy="470319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cxnSp macro="">
        <xdr:nvCxnSpPr>
          <xdr:cNvPr id="64" name="直線コネクタ 63">
            <a:extLst>
              <a:ext uri="{FF2B5EF4-FFF2-40B4-BE49-F238E27FC236}">
                <a16:creationId xmlns:a16="http://schemas.microsoft.com/office/drawing/2014/main" id="{00000000-0008-0000-0300-000040000000}"/>
              </a:ext>
            </a:extLst>
          </xdr:cNvPr>
          <xdr:cNvCxnSpPr>
            <a:stCxn id="63" idx="0"/>
            <a:endCxn id="63" idx="2"/>
          </xdr:cNvCxnSpPr>
        </xdr:nvCxnSpPr>
        <xdr:spPr>
          <a:xfrm>
            <a:off x="5275886" y="9569359"/>
            <a:ext cx="0" cy="470319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5" name="直線コネクタ 64">
            <a:extLst>
              <a:ext uri="{FF2B5EF4-FFF2-40B4-BE49-F238E27FC236}">
                <a16:creationId xmlns:a16="http://schemas.microsoft.com/office/drawing/2014/main" id="{00000000-0008-0000-0300-000041000000}"/>
              </a:ext>
            </a:extLst>
          </xdr:cNvPr>
          <xdr:cNvCxnSpPr>
            <a:stCxn id="63" idx="1"/>
            <a:endCxn id="63" idx="3"/>
          </xdr:cNvCxnSpPr>
        </xdr:nvCxnSpPr>
        <xdr:spPr>
          <a:xfrm>
            <a:off x="5041624" y="9804519"/>
            <a:ext cx="468523" cy="0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6</xdr:col>
      <xdr:colOff>41897</xdr:colOff>
      <xdr:row>25</xdr:row>
      <xdr:rowOff>280741</xdr:rowOff>
    </xdr:from>
    <xdr:to>
      <xdr:col>7</xdr:col>
      <xdr:colOff>40847</xdr:colOff>
      <xdr:row>27</xdr:row>
      <xdr:rowOff>184441</xdr:rowOff>
    </xdr:to>
    <xdr:grpSp>
      <xdr:nvGrpSpPr>
        <xdr:cNvPr id="74" name="グループ化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GrpSpPr/>
      </xdr:nvGrpSpPr>
      <xdr:grpSpPr>
        <a:xfrm>
          <a:off x="2737472" y="10253416"/>
          <a:ext cx="475200" cy="475200"/>
          <a:chOff x="2592941" y="9637652"/>
          <a:chExt cx="470867" cy="475008"/>
        </a:xfrm>
      </xdr:grpSpPr>
      <xdr:sp macro="" textlink="">
        <xdr:nvSpPr>
          <xdr:cNvPr id="75" name="正方形/長方形 74">
            <a:extLst>
              <a:ext uri="{FF2B5EF4-FFF2-40B4-BE49-F238E27FC236}">
                <a16:creationId xmlns:a16="http://schemas.microsoft.com/office/drawing/2014/main" id="{00000000-0008-0000-0300-00004B000000}"/>
              </a:ext>
            </a:extLst>
          </xdr:cNvPr>
          <xdr:cNvSpPr/>
        </xdr:nvSpPr>
        <xdr:spPr>
          <a:xfrm>
            <a:off x="2592941" y="9637652"/>
            <a:ext cx="470867" cy="475008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cxnSp macro="">
        <xdr:nvCxnSpPr>
          <xdr:cNvPr id="76" name="直線コネクタ 75">
            <a:extLst>
              <a:ext uri="{FF2B5EF4-FFF2-40B4-BE49-F238E27FC236}">
                <a16:creationId xmlns:a16="http://schemas.microsoft.com/office/drawing/2014/main" id="{00000000-0008-0000-0300-00004C000000}"/>
              </a:ext>
            </a:extLst>
          </xdr:cNvPr>
          <xdr:cNvCxnSpPr>
            <a:stCxn id="75" idx="0"/>
            <a:endCxn id="75" idx="2"/>
          </xdr:cNvCxnSpPr>
        </xdr:nvCxnSpPr>
        <xdr:spPr>
          <a:xfrm>
            <a:off x="2828375" y="9637652"/>
            <a:ext cx="0" cy="475008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0</xdr:colOff>
      <xdr:row>15</xdr:row>
      <xdr:rowOff>1050</xdr:rowOff>
    </xdr:from>
    <xdr:to>
      <xdr:col>7</xdr:col>
      <xdr:colOff>479341</xdr:colOff>
      <xdr:row>16</xdr:row>
      <xdr:rowOff>0</xdr:rowOff>
    </xdr:to>
    <xdr:grpSp>
      <xdr:nvGrpSpPr>
        <xdr:cNvPr id="180" name="グループ化 179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GrpSpPr/>
      </xdr:nvGrpSpPr>
      <xdr:grpSpPr>
        <a:xfrm>
          <a:off x="3171825" y="6163725"/>
          <a:ext cx="479341" cy="475200"/>
          <a:chOff x="3182291" y="6381372"/>
          <a:chExt cx="468000" cy="468000"/>
        </a:xfrm>
      </xdr:grpSpPr>
      <xdr:sp macro="" textlink="">
        <xdr:nvSpPr>
          <xdr:cNvPr id="84" name="正方形/長方形 83">
            <a:extLst>
              <a:ext uri="{FF2B5EF4-FFF2-40B4-BE49-F238E27FC236}">
                <a16:creationId xmlns:a16="http://schemas.microsoft.com/office/drawing/2014/main" id="{00000000-0008-0000-0300-000054000000}"/>
              </a:ext>
            </a:extLst>
          </xdr:cNvPr>
          <xdr:cNvSpPr/>
        </xdr:nvSpPr>
        <xdr:spPr>
          <a:xfrm rot="5400000">
            <a:off x="3182291" y="6381372"/>
            <a:ext cx="468000" cy="468000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cxnSp macro="">
        <xdr:nvCxnSpPr>
          <xdr:cNvPr id="85" name="直線コネクタ 84">
            <a:extLst>
              <a:ext uri="{FF2B5EF4-FFF2-40B4-BE49-F238E27FC236}">
                <a16:creationId xmlns:a16="http://schemas.microsoft.com/office/drawing/2014/main" id="{00000000-0008-0000-0300-000055000000}"/>
              </a:ext>
            </a:extLst>
          </xdr:cNvPr>
          <xdr:cNvCxnSpPr>
            <a:stCxn id="84" idx="0"/>
            <a:endCxn id="84" idx="2"/>
          </xdr:cNvCxnSpPr>
        </xdr:nvCxnSpPr>
        <xdr:spPr>
          <a:xfrm rot="5400000">
            <a:off x="3416291" y="6381372"/>
            <a:ext cx="0" cy="468000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6" name="直線コネクタ 85">
            <a:extLst>
              <a:ext uri="{FF2B5EF4-FFF2-40B4-BE49-F238E27FC236}">
                <a16:creationId xmlns:a16="http://schemas.microsoft.com/office/drawing/2014/main" id="{00000000-0008-0000-0300-000056000000}"/>
              </a:ext>
            </a:extLst>
          </xdr:cNvPr>
          <xdr:cNvCxnSpPr>
            <a:stCxn id="84" idx="1"/>
          </xdr:cNvCxnSpPr>
        </xdr:nvCxnSpPr>
        <xdr:spPr>
          <a:xfrm rot="5400000">
            <a:off x="3293185" y="6503642"/>
            <a:ext cx="245376" cy="835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 fLocksWithSheet="0"/>
  </xdr:twoCellAnchor>
  <xdr:twoCellAnchor>
    <xdr:from>
      <xdr:col>7</xdr:col>
      <xdr:colOff>0</xdr:colOff>
      <xdr:row>13</xdr:row>
      <xdr:rowOff>0</xdr:rowOff>
    </xdr:from>
    <xdr:to>
      <xdr:col>7</xdr:col>
      <xdr:colOff>479341</xdr:colOff>
      <xdr:row>13</xdr:row>
      <xdr:rowOff>475200</xdr:rowOff>
    </xdr:to>
    <xdr:grpSp>
      <xdr:nvGrpSpPr>
        <xdr:cNvPr id="183" name="グループ化 182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GrpSpPr/>
      </xdr:nvGrpSpPr>
      <xdr:grpSpPr>
        <a:xfrm>
          <a:off x="3171825" y="5210175"/>
          <a:ext cx="479341" cy="475200"/>
          <a:chOff x="3177776" y="5434857"/>
          <a:chExt cx="466726" cy="468000"/>
        </a:xfrm>
      </xdr:grpSpPr>
      <xdr:sp macro="" textlink="">
        <xdr:nvSpPr>
          <xdr:cNvPr id="94" name="正方形/長方形 93">
            <a:extLst>
              <a:ext uri="{FF2B5EF4-FFF2-40B4-BE49-F238E27FC236}">
                <a16:creationId xmlns:a16="http://schemas.microsoft.com/office/drawing/2014/main" id="{00000000-0008-0000-0300-00005E000000}"/>
              </a:ext>
            </a:extLst>
          </xdr:cNvPr>
          <xdr:cNvSpPr/>
        </xdr:nvSpPr>
        <xdr:spPr>
          <a:xfrm>
            <a:off x="3177776" y="5434857"/>
            <a:ext cx="466726" cy="468000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cxnSp macro="">
        <xdr:nvCxnSpPr>
          <xdr:cNvPr id="95" name="直線コネクタ 94">
            <a:extLst>
              <a:ext uri="{FF2B5EF4-FFF2-40B4-BE49-F238E27FC236}">
                <a16:creationId xmlns:a16="http://schemas.microsoft.com/office/drawing/2014/main" id="{00000000-0008-0000-0300-00005F000000}"/>
              </a:ext>
            </a:extLst>
          </xdr:cNvPr>
          <xdr:cNvCxnSpPr>
            <a:stCxn id="94" idx="0"/>
            <a:endCxn id="94" idx="2"/>
          </xdr:cNvCxnSpPr>
        </xdr:nvCxnSpPr>
        <xdr:spPr>
          <a:xfrm>
            <a:off x="3411139" y="5434857"/>
            <a:ext cx="0" cy="468000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 fLocksWithSheet="0"/>
  </xdr:twoCellAnchor>
  <xdr:twoCellAnchor editAs="oneCell">
    <xdr:from>
      <xdr:col>7</xdr:col>
      <xdr:colOff>98985</xdr:colOff>
      <xdr:row>21</xdr:row>
      <xdr:rowOff>261500</xdr:rowOff>
    </xdr:from>
    <xdr:to>
      <xdr:col>8</xdr:col>
      <xdr:colOff>97935</xdr:colOff>
      <xdr:row>23</xdr:row>
      <xdr:rowOff>165200</xdr:rowOff>
    </xdr:to>
    <xdr:grpSp>
      <xdr:nvGrpSpPr>
        <xdr:cNvPr id="113" name="グループ化 112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GrpSpPr/>
      </xdr:nvGrpSpPr>
      <xdr:grpSpPr>
        <a:xfrm>
          <a:off x="3270810" y="9091175"/>
          <a:ext cx="475200" cy="475200"/>
          <a:chOff x="5041624" y="9569359"/>
          <a:chExt cx="468523" cy="470319"/>
        </a:xfrm>
      </xdr:grpSpPr>
      <xdr:sp macro="" textlink="">
        <xdr:nvSpPr>
          <xdr:cNvPr id="114" name="正方形/長方形 113">
            <a:extLst>
              <a:ext uri="{FF2B5EF4-FFF2-40B4-BE49-F238E27FC236}">
                <a16:creationId xmlns:a16="http://schemas.microsoft.com/office/drawing/2014/main" id="{00000000-0008-0000-0300-000072000000}"/>
              </a:ext>
            </a:extLst>
          </xdr:cNvPr>
          <xdr:cNvSpPr/>
        </xdr:nvSpPr>
        <xdr:spPr>
          <a:xfrm>
            <a:off x="5041624" y="9569359"/>
            <a:ext cx="468523" cy="470319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cxnSp macro="">
        <xdr:nvCxnSpPr>
          <xdr:cNvPr id="115" name="直線コネクタ 114">
            <a:extLst>
              <a:ext uri="{FF2B5EF4-FFF2-40B4-BE49-F238E27FC236}">
                <a16:creationId xmlns:a16="http://schemas.microsoft.com/office/drawing/2014/main" id="{00000000-0008-0000-0300-000073000000}"/>
              </a:ext>
            </a:extLst>
          </xdr:cNvPr>
          <xdr:cNvCxnSpPr>
            <a:stCxn id="114" idx="0"/>
            <a:endCxn id="114" idx="2"/>
          </xdr:cNvCxnSpPr>
        </xdr:nvCxnSpPr>
        <xdr:spPr>
          <a:xfrm>
            <a:off x="5275886" y="9569359"/>
            <a:ext cx="0" cy="470319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6" name="直線コネクタ 115">
            <a:extLst>
              <a:ext uri="{FF2B5EF4-FFF2-40B4-BE49-F238E27FC236}">
                <a16:creationId xmlns:a16="http://schemas.microsoft.com/office/drawing/2014/main" id="{00000000-0008-0000-0300-000074000000}"/>
              </a:ext>
            </a:extLst>
          </xdr:cNvPr>
          <xdr:cNvCxnSpPr>
            <a:stCxn id="114" idx="1"/>
          </xdr:cNvCxnSpPr>
        </xdr:nvCxnSpPr>
        <xdr:spPr>
          <a:xfrm>
            <a:off x="5041624" y="9804519"/>
            <a:ext cx="245650" cy="839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3574</xdr:colOff>
      <xdr:row>13</xdr:row>
      <xdr:rowOff>1774</xdr:rowOff>
    </xdr:from>
    <xdr:to>
      <xdr:col>3</xdr:col>
      <xdr:colOff>2523</xdr:colOff>
      <xdr:row>14</xdr:row>
      <xdr:rowOff>725</xdr:rowOff>
    </xdr:to>
    <xdr:grpSp>
      <xdr:nvGrpSpPr>
        <xdr:cNvPr id="188" name="グループ化 187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GrpSpPr/>
      </xdr:nvGrpSpPr>
      <xdr:grpSpPr>
        <a:xfrm>
          <a:off x="794149" y="5211949"/>
          <a:ext cx="475199" cy="475201"/>
          <a:chOff x="811563" y="5441051"/>
          <a:chExt cx="466726" cy="472328"/>
        </a:xfrm>
      </xdr:grpSpPr>
      <xdr:sp macro="" textlink="">
        <xdr:nvSpPr>
          <xdr:cNvPr id="131" name="正方形/長方形 130">
            <a:extLst>
              <a:ext uri="{FF2B5EF4-FFF2-40B4-BE49-F238E27FC236}">
                <a16:creationId xmlns:a16="http://schemas.microsoft.com/office/drawing/2014/main" id="{00000000-0008-0000-0300-000083000000}"/>
              </a:ext>
            </a:extLst>
          </xdr:cNvPr>
          <xdr:cNvSpPr/>
        </xdr:nvSpPr>
        <xdr:spPr>
          <a:xfrm>
            <a:off x="811563" y="5441051"/>
            <a:ext cx="466726" cy="472328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cxnSp macro="">
        <xdr:nvCxnSpPr>
          <xdr:cNvPr id="132" name="直線コネクタ 131">
            <a:extLst>
              <a:ext uri="{FF2B5EF4-FFF2-40B4-BE49-F238E27FC236}">
                <a16:creationId xmlns:a16="http://schemas.microsoft.com/office/drawing/2014/main" id="{00000000-0008-0000-0300-000084000000}"/>
              </a:ext>
            </a:extLst>
          </xdr:cNvPr>
          <xdr:cNvCxnSpPr>
            <a:stCxn id="131" idx="0"/>
            <a:endCxn id="131" idx="2"/>
          </xdr:cNvCxnSpPr>
        </xdr:nvCxnSpPr>
        <xdr:spPr>
          <a:xfrm>
            <a:off x="1044926" y="5441051"/>
            <a:ext cx="0" cy="472328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 fLocksWithSheet="0"/>
  </xdr:twoCellAnchor>
  <xdr:twoCellAnchor>
    <xdr:from>
      <xdr:col>2</xdr:col>
      <xdr:colOff>0</xdr:colOff>
      <xdr:row>11</xdr:row>
      <xdr:rowOff>1051</xdr:rowOff>
    </xdr:from>
    <xdr:to>
      <xdr:col>2</xdr:col>
      <xdr:colOff>479342</xdr:colOff>
      <xdr:row>12</xdr:row>
      <xdr:rowOff>0</xdr:rowOff>
    </xdr:to>
    <xdr:grpSp>
      <xdr:nvGrpSpPr>
        <xdr:cNvPr id="190" name="グループ化 189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GrpSpPr/>
      </xdr:nvGrpSpPr>
      <xdr:grpSpPr>
        <a:xfrm>
          <a:off x="790575" y="4258726"/>
          <a:ext cx="479342" cy="475199"/>
          <a:chOff x="794754" y="4488551"/>
          <a:chExt cx="466726" cy="472328"/>
        </a:xfrm>
      </xdr:grpSpPr>
      <xdr:sp macro="" textlink="">
        <xdr:nvSpPr>
          <xdr:cNvPr id="134" name="正方形/長方形 133">
            <a:extLst>
              <a:ext uri="{FF2B5EF4-FFF2-40B4-BE49-F238E27FC236}">
                <a16:creationId xmlns:a16="http://schemas.microsoft.com/office/drawing/2014/main" id="{00000000-0008-0000-0300-000086000000}"/>
              </a:ext>
            </a:extLst>
          </xdr:cNvPr>
          <xdr:cNvSpPr/>
        </xdr:nvSpPr>
        <xdr:spPr>
          <a:xfrm>
            <a:off x="794754" y="4488551"/>
            <a:ext cx="466726" cy="472328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cxnSp macro="">
        <xdr:nvCxnSpPr>
          <xdr:cNvPr id="135" name="直線コネクタ 134">
            <a:extLst>
              <a:ext uri="{FF2B5EF4-FFF2-40B4-BE49-F238E27FC236}">
                <a16:creationId xmlns:a16="http://schemas.microsoft.com/office/drawing/2014/main" id="{00000000-0008-0000-0300-000087000000}"/>
              </a:ext>
            </a:extLst>
          </xdr:cNvPr>
          <xdr:cNvCxnSpPr>
            <a:stCxn id="134" idx="0"/>
            <a:endCxn id="134" idx="2"/>
          </xdr:cNvCxnSpPr>
        </xdr:nvCxnSpPr>
        <xdr:spPr>
          <a:xfrm>
            <a:off x="1028117" y="4488551"/>
            <a:ext cx="0" cy="472328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1050</xdr:colOff>
      <xdr:row>9</xdr:row>
      <xdr:rowOff>0</xdr:rowOff>
    </xdr:from>
    <xdr:to>
      <xdr:col>3</xdr:col>
      <xdr:colOff>0</xdr:colOff>
      <xdr:row>9</xdr:row>
      <xdr:rowOff>479341</xdr:rowOff>
    </xdr:to>
    <xdr:grpSp>
      <xdr:nvGrpSpPr>
        <xdr:cNvPr id="196" name="グループ化 195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GrpSpPr/>
      </xdr:nvGrpSpPr>
      <xdr:grpSpPr>
        <a:xfrm>
          <a:off x="791625" y="3305175"/>
          <a:ext cx="475200" cy="479341"/>
          <a:chOff x="800357" y="3547257"/>
          <a:chExt cx="472329" cy="472328"/>
        </a:xfrm>
      </xdr:grpSpPr>
      <xdr:sp macro="" textlink="">
        <xdr:nvSpPr>
          <xdr:cNvPr id="137" name="正方形/長方形 136">
            <a:extLst>
              <a:ext uri="{FF2B5EF4-FFF2-40B4-BE49-F238E27FC236}">
                <a16:creationId xmlns:a16="http://schemas.microsoft.com/office/drawing/2014/main" id="{00000000-0008-0000-0300-000089000000}"/>
              </a:ext>
            </a:extLst>
          </xdr:cNvPr>
          <xdr:cNvSpPr/>
        </xdr:nvSpPr>
        <xdr:spPr>
          <a:xfrm>
            <a:off x="800357" y="3547257"/>
            <a:ext cx="472329" cy="472328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cxnSp macro="">
        <xdr:nvCxnSpPr>
          <xdr:cNvPr id="138" name="直線コネクタ 137">
            <a:extLst>
              <a:ext uri="{FF2B5EF4-FFF2-40B4-BE49-F238E27FC236}">
                <a16:creationId xmlns:a16="http://schemas.microsoft.com/office/drawing/2014/main" id="{00000000-0008-0000-0300-00008A000000}"/>
              </a:ext>
            </a:extLst>
          </xdr:cNvPr>
          <xdr:cNvCxnSpPr>
            <a:stCxn id="137" idx="0"/>
            <a:endCxn id="137" idx="2"/>
          </xdr:cNvCxnSpPr>
        </xdr:nvCxnSpPr>
        <xdr:spPr>
          <a:xfrm>
            <a:off x="1036522" y="3547257"/>
            <a:ext cx="0" cy="472328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1050</xdr:colOff>
      <xdr:row>9</xdr:row>
      <xdr:rowOff>0</xdr:rowOff>
    </xdr:from>
    <xdr:to>
      <xdr:col>4</xdr:col>
      <xdr:colOff>0</xdr:colOff>
      <xdr:row>9</xdr:row>
      <xdr:rowOff>479341</xdr:rowOff>
    </xdr:to>
    <xdr:grpSp>
      <xdr:nvGrpSpPr>
        <xdr:cNvPr id="195" name="グループ化 194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GrpSpPr/>
      </xdr:nvGrpSpPr>
      <xdr:grpSpPr>
        <a:xfrm>
          <a:off x="1267875" y="3305175"/>
          <a:ext cx="475200" cy="479341"/>
          <a:chOff x="1344903" y="3628868"/>
          <a:chExt cx="462920" cy="462803"/>
        </a:xfrm>
      </xdr:grpSpPr>
      <xdr:sp macro="" textlink="">
        <xdr:nvSpPr>
          <xdr:cNvPr id="146" name="正方形/長方形 145">
            <a:extLst>
              <a:ext uri="{FF2B5EF4-FFF2-40B4-BE49-F238E27FC236}">
                <a16:creationId xmlns:a16="http://schemas.microsoft.com/office/drawing/2014/main" id="{00000000-0008-0000-0300-000092000000}"/>
              </a:ext>
            </a:extLst>
          </xdr:cNvPr>
          <xdr:cNvSpPr/>
        </xdr:nvSpPr>
        <xdr:spPr>
          <a:xfrm rot="10800000">
            <a:off x="1344903" y="3628868"/>
            <a:ext cx="462920" cy="462803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cxnSp macro="">
        <xdr:nvCxnSpPr>
          <xdr:cNvPr id="147" name="直線コネクタ 146">
            <a:extLst>
              <a:ext uri="{FF2B5EF4-FFF2-40B4-BE49-F238E27FC236}">
                <a16:creationId xmlns:a16="http://schemas.microsoft.com/office/drawing/2014/main" id="{00000000-0008-0000-0300-000093000000}"/>
              </a:ext>
            </a:extLst>
          </xdr:cNvPr>
          <xdr:cNvCxnSpPr>
            <a:stCxn id="146" idx="0"/>
            <a:endCxn id="146" idx="2"/>
          </xdr:cNvCxnSpPr>
        </xdr:nvCxnSpPr>
        <xdr:spPr>
          <a:xfrm rot="10800000">
            <a:off x="1576363" y="3628868"/>
            <a:ext cx="0" cy="462803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8" name="直線コネクタ 147">
            <a:extLst>
              <a:ext uri="{FF2B5EF4-FFF2-40B4-BE49-F238E27FC236}">
                <a16:creationId xmlns:a16="http://schemas.microsoft.com/office/drawing/2014/main" id="{00000000-0008-0000-0300-000094000000}"/>
              </a:ext>
            </a:extLst>
          </xdr:cNvPr>
          <xdr:cNvCxnSpPr>
            <a:stCxn id="146" idx="1"/>
          </xdr:cNvCxnSpPr>
        </xdr:nvCxnSpPr>
        <xdr:spPr>
          <a:xfrm rot="10800000">
            <a:off x="1565111" y="3859443"/>
            <a:ext cx="242712" cy="826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316</xdr:colOff>
      <xdr:row>10</xdr:row>
      <xdr:rowOff>2971</xdr:rowOff>
    </xdr:from>
    <xdr:to>
      <xdr:col>3</xdr:col>
      <xdr:colOff>475516</xdr:colOff>
      <xdr:row>11</xdr:row>
      <xdr:rowOff>1921</xdr:rowOff>
    </xdr:to>
    <xdr:grpSp>
      <xdr:nvGrpSpPr>
        <xdr:cNvPr id="192" name="グループ化 191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GrpSpPr/>
      </xdr:nvGrpSpPr>
      <xdr:grpSpPr>
        <a:xfrm>
          <a:off x="1267141" y="3784396"/>
          <a:ext cx="475200" cy="475200"/>
          <a:chOff x="1248593" y="4079537"/>
          <a:chExt cx="466726" cy="472328"/>
        </a:xfrm>
      </xdr:grpSpPr>
      <xdr:sp macro="" textlink="">
        <xdr:nvSpPr>
          <xdr:cNvPr id="150" name="正方形/長方形 149">
            <a:extLst>
              <a:ext uri="{FF2B5EF4-FFF2-40B4-BE49-F238E27FC236}">
                <a16:creationId xmlns:a16="http://schemas.microsoft.com/office/drawing/2014/main" id="{00000000-0008-0000-0300-000096000000}"/>
              </a:ext>
            </a:extLst>
          </xdr:cNvPr>
          <xdr:cNvSpPr/>
        </xdr:nvSpPr>
        <xdr:spPr>
          <a:xfrm>
            <a:off x="1248593" y="4079537"/>
            <a:ext cx="466726" cy="472328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cxnSp macro="">
        <xdr:nvCxnSpPr>
          <xdr:cNvPr id="151" name="直線コネクタ 150">
            <a:extLst>
              <a:ext uri="{FF2B5EF4-FFF2-40B4-BE49-F238E27FC236}">
                <a16:creationId xmlns:a16="http://schemas.microsoft.com/office/drawing/2014/main" id="{00000000-0008-0000-0300-000097000000}"/>
              </a:ext>
            </a:extLst>
          </xdr:cNvPr>
          <xdr:cNvCxnSpPr>
            <a:stCxn id="150" idx="0"/>
            <a:endCxn id="150" idx="2"/>
          </xdr:cNvCxnSpPr>
        </xdr:nvCxnSpPr>
        <xdr:spPr>
          <a:xfrm>
            <a:off x="1481956" y="4079537"/>
            <a:ext cx="0" cy="472328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1591</xdr:colOff>
      <xdr:row>11</xdr:row>
      <xdr:rowOff>1051</xdr:rowOff>
    </xdr:from>
    <xdr:to>
      <xdr:col>5</xdr:col>
      <xdr:colOff>0</xdr:colOff>
      <xdr:row>12</xdr:row>
      <xdr:rowOff>0</xdr:rowOff>
    </xdr:to>
    <xdr:grpSp>
      <xdr:nvGrpSpPr>
        <xdr:cNvPr id="189" name="グループ化 188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GrpSpPr/>
      </xdr:nvGrpSpPr>
      <xdr:grpSpPr>
        <a:xfrm>
          <a:off x="1744666" y="4258726"/>
          <a:ext cx="474659" cy="475199"/>
          <a:chOff x="1765037" y="4493910"/>
          <a:chExt cx="457202" cy="472328"/>
        </a:xfrm>
      </xdr:grpSpPr>
      <xdr:sp macro="" textlink="">
        <xdr:nvSpPr>
          <xdr:cNvPr id="156" name="正方形/長方形 155">
            <a:extLst>
              <a:ext uri="{FF2B5EF4-FFF2-40B4-BE49-F238E27FC236}">
                <a16:creationId xmlns:a16="http://schemas.microsoft.com/office/drawing/2014/main" id="{00000000-0008-0000-0300-00009C000000}"/>
              </a:ext>
            </a:extLst>
          </xdr:cNvPr>
          <xdr:cNvSpPr/>
        </xdr:nvSpPr>
        <xdr:spPr>
          <a:xfrm>
            <a:off x="1765037" y="4493910"/>
            <a:ext cx="457202" cy="472328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cxnSp macro="">
        <xdr:nvCxnSpPr>
          <xdr:cNvPr id="157" name="直線コネクタ 156">
            <a:extLst>
              <a:ext uri="{FF2B5EF4-FFF2-40B4-BE49-F238E27FC236}">
                <a16:creationId xmlns:a16="http://schemas.microsoft.com/office/drawing/2014/main" id="{00000000-0008-0000-0300-00009D000000}"/>
              </a:ext>
            </a:extLst>
          </xdr:cNvPr>
          <xdr:cNvCxnSpPr>
            <a:stCxn id="156" idx="3"/>
            <a:endCxn id="156" idx="1"/>
          </xdr:cNvCxnSpPr>
        </xdr:nvCxnSpPr>
        <xdr:spPr>
          <a:xfrm flipH="1">
            <a:off x="1765037" y="4730074"/>
            <a:ext cx="457202" cy="0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479342</xdr:colOff>
      <xdr:row>8</xdr:row>
      <xdr:rowOff>475200</xdr:rowOff>
    </xdr:to>
    <xdr:grpSp>
      <xdr:nvGrpSpPr>
        <xdr:cNvPr id="194" name="グループ化 193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GrpSpPr/>
      </xdr:nvGrpSpPr>
      <xdr:grpSpPr>
        <a:xfrm>
          <a:off x="2219325" y="2828925"/>
          <a:ext cx="479342" cy="475200"/>
          <a:chOff x="2212299" y="3042993"/>
          <a:chExt cx="466727" cy="472328"/>
        </a:xfrm>
      </xdr:grpSpPr>
      <xdr:sp macro="" textlink="">
        <xdr:nvSpPr>
          <xdr:cNvPr id="175" name="正方形/長方形 174">
            <a:extLst>
              <a:ext uri="{FF2B5EF4-FFF2-40B4-BE49-F238E27FC236}">
                <a16:creationId xmlns:a16="http://schemas.microsoft.com/office/drawing/2014/main" id="{00000000-0008-0000-0300-0000AF000000}"/>
              </a:ext>
            </a:extLst>
          </xdr:cNvPr>
          <xdr:cNvSpPr/>
        </xdr:nvSpPr>
        <xdr:spPr>
          <a:xfrm>
            <a:off x="2212299" y="3042993"/>
            <a:ext cx="466727" cy="472328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cxnSp macro="">
        <xdr:nvCxnSpPr>
          <xdr:cNvPr id="176" name="直線コネクタ 175">
            <a:extLst>
              <a:ext uri="{FF2B5EF4-FFF2-40B4-BE49-F238E27FC236}">
                <a16:creationId xmlns:a16="http://schemas.microsoft.com/office/drawing/2014/main" id="{00000000-0008-0000-0300-0000B0000000}"/>
              </a:ext>
            </a:extLst>
          </xdr:cNvPr>
          <xdr:cNvCxnSpPr>
            <a:stCxn id="175" idx="0"/>
            <a:endCxn id="175" idx="2"/>
          </xdr:cNvCxnSpPr>
        </xdr:nvCxnSpPr>
        <xdr:spPr>
          <a:xfrm>
            <a:off x="2445663" y="3042993"/>
            <a:ext cx="0" cy="472328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3</xdr:col>
      <xdr:colOff>463793</xdr:colOff>
      <xdr:row>24</xdr:row>
      <xdr:rowOff>124558</xdr:rowOff>
    </xdr:from>
    <xdr:to>
      <xdr:col>4</xdr:col>
      <xdr:colOff>462743</xdr:colOff>
      <xdr:row>26</xdr:row>
      <xdr:rowOff>28258</xdr:rowOff>
    </xdr:to>
    <xdr:grpSp>
      <xdr:nvGrpSpPr>
        <xdr:cNvPr id="179" name="グループ化 178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GrpSpPr/>
      </xdr:nvGrpSpPr>
      <xdr:grpSpPr>
        <a:xfrm>
          <a:off x="1730618" y="9811483"/>
          <a:ext cx="475200" cy="475200"/>
          <a:chOff x="1732123" y="9554308"/>
          <a:chExt cx="466725" cy="472007"/>
        </a:xfrm>
      </xdr:grpSpPr>
      <xdr:sp macro="" textlink="">
        <xdr:nvSpPr>
          <xdr:cNvPr id="3" name="正方形/長方形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732123" y="9554308"/>
            <a:ext cx="466725" cy="46672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sp macro="" textlink="">
        <xdr:nvSpPr>
          <xdr:cNvPr id="178" name="フリーフォーム: 図形 177">
            <a:extLst>
              <a:ext uri="{FF2B5EF4-FFF2-40B4-BE49-F238E27FC236}">
                <a16:creationId xmlns:a16="http://schemas.microsoft.com/office/drawing/2014/main" id="{00000000-0008-0000-0300-0000B2000000}"/>
              </a:ext>
            </a:extLst>
          </xdr:cNvPr>
          <xdr:cNvSpPr/>
        </xdr:nvSpPr>
        <xdr:spPr>
          <a:xfrm>
            <a:off x="1744579" y="9790696"/>
            <a:ext cx="225592" cy="235619"/>
          </a:xfrm>
          <a:custGeom>
            <a:avLst/>
            <a:gdLst>
              <a:gd name="connsiteX0" fmla="*/ 0 w 249986"/>
              <a:gd name="connsiteY0" fmla="*/ 0 h 250658"/>
              <a:gd name="connsiteX1" fmla="*/ 115303 w 249986"/>
              <a:gd name="connsiteY1" fmla="*/ 15039 h 250658"/>
              <a:gd name="connsiteX2" fmla="*/ 200526 w 249986"/>
              <a:gd name="connsiteY2" fmla="*/ 75197 h 250658"/>
              <a:gd name="connsiteX3" fmla="*/ 245645 w 249986"/>
              <a:gd name="connsiteY3" fmla="*/ 195513 h 250658"/>
              <a:gd name="connsiteX4" fmla="*/ 245645 w 249986"/>
              <a:gd name="connsiteY4" fmla="*/ 250658 h 2506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9986" h="250658">
                <a:moveTo>
                  <a:pt x="0" y="0"/>
                </a:moveTo>
                <a:cubicBezTo>
                  <a:pt x="40941" y="1253"/>
                  <a:pt x="81882" y="2506"/>
                  <a:pt x="115303" y="15039"/>
                </a:cubicBezTo>
                <a:cubicBezTo>
                  <a:pt x="148724" y="27572"/>
                  <a:pt x="178802" y="45118"/>
                  <a:pt x="200526" y="75197"/>
                </a:cubicBezTo>
                <a:cubicBezTo>
                  <a:pt x="222250" y="105276"/>
                  <a:pt x="238125" y="166270"/>
                  <a:pt x="245645" y="195513"/>
                </a:cubicBezTo>
                <a:cubicBezTo>
                  <a:pt x="253165" y="224756"/>
                  <a:pt x="249405" y="237707"/>
                  <a:pt x="245645" y="250658"/>
                </a:cubicBezTo>
              </a:path>
            </a:pathLst>
          </a:cu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8</xdr:col>
      <xdr:colOff>0</xdr:colOff>
      <xdr:row>15</xdr:row>
      <xdr:rowOff>1050</xdr:rowOff>
    </xdr:from>
    <xdr:to>
      <xdr:col>9</xdr:col>
      <xdr:colOff>0</xdr:colOff>
      <xdr:row>16</xdr:row>
      <xdr:rowOff>0</xdr:rowOff>
    </xdr:to>
    <xdr:grpSp>
      <xdr:nvGrpSpPr>
        <xdr:cNvPr id="200" name="グループ化 199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GrpSpPr/>
      </xdr:nvGrpSpPr>
      <xdr:grpSpPr>
        <a:xfrm>
          <a:off x="3648075" y="6163725"/>
          <a:ext cx="476250" cy="475200"/>
          <a:chOff x="3637122" y="6385992"/>
          <a:chExt cx="475200" cy="475200"/>
        </a:xfrm>
      </xdr:grpSpPr>
      <xdr:sp macro="" textlink="">
        <xdr:nvSpPr>
          <xdr:cNvPr id="198" name="正方形/長方形 197">
            <a:extLst>
              <a:ext uri="{FF2B5EF4-FFF2-40B4-BE49-F238E27FC236}">
                <a16:creationId xmlns:a16="http://schemas.microsoft.com/office/drawing/2014/main" id="{00000000-0008-0000-0300-0000C6000000}"/>
              </a:ext>
            </a:extLst>
          </xdr:cNvPr>
          <xdr:cNvSpPr/>
        </xdr:nvSpPr>
        <xdr:spPr>
          <a:xfrm rot="5400000">
            <a:off x="3639781" y="6388651"/>
            <a:ext cx="475200" cy="469882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sp macro="" textlink="">
        <xdr:nvSpPr>
          <xdr:cNvPr id="199" name="フリーフォーム: 図形 198">
            <a:extLst>
              <a:ext uri="{FF2B5EF4-FFF2-40B4-BE49-F238E27FC236}">
                <a16:creationId xmlns:a16="http://schemas.microsoft.com/office/drawing/2014/main" id="{00000000-0008-0000-0300-0000C7000000}"/>
              </a:ext>
            </a:extLst>
          </xdr:cNvPr>
          <xdr:cNvSpPr/>
        </xdr:nvSpPr>
        <xdr:spPr>
          <a:xfrm rot="5400000">
            <a:off x="3640884" y="6394912"/>
            <a:ext cx="229688" cy="237213"/>
          </a:xfrm>
          <a:custGeom>
            <a:avLst/>
            <a:gdLst>
              <a:gd name="connsiteX0" fmla="*/ 0 w 249986"/>
              <a:gd name="connsiteY0" fmla="*/ 0 h 250658"/>
              <a:gd name="connsiteX1" fmla="*/ 115303 w 249986"/>
              <a:gd name="connsiteY1" fmla="*/ 15039 h 250658"/>
              <a:gd name="connsiteX2" fmla="*/ 200526 w 249986"/>
              <a:gd name="connsiteY2" fmla="*/ 75197 h 250658"/>
              <a:gd name="connsiteX3" fmla="*/ 245645 w 249986"/>
              <a:gd name="connsiteY3" fmla="*/ 195513 h 250658"/>
              <a:gd name="connsiteX4" fmla="*/ 245645 w 249986"/>
              <a:gd name="connsiteY4" fmla="*/ 250658 h 2506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9986" h="250658">
                <a:moveTo>
                  <a:pt x="0" y="0"/>
                </a:moveTo>
                <a:cubicBezTo>
                  <a:pt x="40941" y="1253"/>
                  <a:pt x="81882" y="2506"/>
                  <a:pt x="115303" y="15039"/>
                </a:cubicBezTo>
                <a:cubicBezTo>
                  <a:pt x="148724" y="27572"/>
                  <a:pt x="178802" y="45118"/>
                  <a:pt x="200526" y="75197"/>
                </a:cubicBezTo>
                <a:cubicBezTo>
                  <a:pt x="222250" y="105276"/>
                  <a:pt x="238125" y="166270"/>
                  <a:pt x="245645" y="195513"/>
                </a:cubicBezTo>
                <a:cubicBezTo>
                  <a:pt x="253165" y="224756"/>
                  <a:pt x="249405" y="237707"/>
                  <a:pt x="245645" y="250658"/>
                </a:cubicBezTo>
              </a:path>
            </a:pathLst>
          </a:cu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 fLocksWithSheet="0"/>
  </xdr:twoCellAnchor>
  <xdr:twoCellAnchor>
    <xdr:from>
      <xdr:col>6</xdr:col>
      <xdr:colOff>1049</xdr:colOff>
      <xdr:row>15</xdr:row>
      <xdr:rowOff>1049</xdr:rowOff>
    </xdr:from>
    <xdr:to>
      <xdr:col>7</xdr:col>
      <xdr:colOff>0</xdr:colOff>
      <xdr:row>16</xdr:row>
      <xdr:rowOff>0</xdr:rowOff>
    </xdr:to>
    <xdr:grpSp>
      <xdr:nvGrpSpPr>
        <xdr:cNvPr id="201" name="グループ化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GrpSpPr/>
      </xdr:nvGrpSpPr>
      <xdr:grpSpPr>
        <a:xfrm rot="5400000">
          <a:off x="2696624" y="6163724"/>
          <a:ext cx="475201" cy="475201"/>
          <a:chOff x="3637122" y="6385992"/>
          <a:chExt cx="475200" cy="475200"/>
        </a:xfrm>
      </xdr:grpSpPr>
      <xdr:sp macro="" textlink="">
        <xdr:nvSpPr>
          <xdr:cNvPr id="202" name="正方形/長方形 201">
            <a:extLst>
              <a:ext uri="{FF2B5EF4-FFF2-40B4-BE49-F238E27FC236}">
                <a16:creationId xmlns:a16="http://schemas.microsoft.com/office/drawing/2014/main" id="{00000000-0008-0000-0300-0000CA000000}"/>
              </a:ext>
            </a:extLst>
          </xdr:cNvPr>
          <xdr:cNvSpPr/>
        </xdr:nvSpPr>
        <xdr:spPr>
          <a:xfrm rot="5400000">
            <a:off x="3639781" y="6388651"/>
            <a:ext cx="475200" cy="469882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sp macro="" textlink="">
        <xdr:nvSpPr>
          <xdr:cNvPr id="203" name="フリーフォーム: 図形 202">
            <a:extLst>
              <a:ext uri="{FF2B5EF4-FFF2-40B4-BE49-F238E27FC236}">
                <a16:creationId xmlns:a16="http://schemas.microsoft.com/office/drawing/2014/main" id="{00000000-0008-0000-0300-0000CB000000}"/>
              </a:ext>
            </a:extLst>
          </xdr:cNvPr>
          <xdr:cNvSpPr/>
        </xdr:nvSpPr>
        <xdr:spPr>
          <a:xfrm rot="5400000">
            <a:off x="3640884" y="6394912"/>
            <a:ext cx="229688" cy="237213"/>
          </a:xfrm>
          <a:custGeom>
            <a:avLst/>
            <a:gdLst>
              <a:gd name="connsiteX0" fmla="*/ 0 w 249986"/>
              <a:gd name="connsiteY0" fmla="*/ 0 h 250658"/>
              <a:gd name="connsiteX1" fmla="*/ 115303 w 249986"/>
              <a:gd name="connsiteY1" fmla="*/ 15039 h 250658"/>
              <a:gd name="connsiteX2" fmla="*/ 200526 w 249986"/>
              <a:gd name="connsiteY2" fmla="*/ 75197 h 250658"/>
              <a:gd name="connsiteX3" fmla="*/ 245645 w 249986"/>
              <a:gd name="connsiteY3" fmla="*/ 195513 h 250658"/>
              <a:gd name="connsiteX4" fmla="*/ 245645 w 249986"/>
              <a:gd name="connsiteY4" fmla="*/ 250658 h 2506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9986" h="250658">
                <a:moveTo>
                  <a:pt x="0" y="0"/>
                </a:moveTo>
                <a:cubicBezTo>
                  <a:pt x="40941" y="1253"/>
                  <a:pt x="81882" y="2506"/>
                  <a:pt x="115303" y="15039"/>
                </a:cubicBezTo>
                <a:cubicBezTo>
                  <a:pt x="148724" y="27572"/>
                  <a:pt x="178802" y="45118"/>
                  <a:pt x="200526" y="75197"/>
                </a:cubicBezTo>
                <a:cubicBezTo>
                  <a:pt x="222250" y="105276"/>
                  <a:pt x="238125" y="166270"/>
                  <a:pt x="245645" y="195513"/>
                </a:cubicBezTo>
                <a:cubicBezTo>
                  <a:pt x="253165" y="224756"/>
                  <a:pt x="249405" y="237707"/>
                  <a:pt x="245645" y="250658"/>
                </a:cubicBezTo>
              </a:path>
            </a:pathLst>
          </a:cu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 fLocksWithSheet="0"/>
  </xdr:twoCellAnchor>
  <xdr:twoCellAnchor>
    <xdr:from>
      <xdr:col>6</xdr:col>
      <xdr:colOff>1049</xdr:colOff>
      <xdr:row>14</xdr:row>
      <xdr:rowOff>1050</xdr:rowOff>
    </xdr:from>
    <xdr:to>
      <xdr:col>7</xdr:col>
      <xdr:colOff>0</xdr:colOff>
      <xdr:row>15</xdr:row>
      <xdr:rowOff>0</xdr:rowOff>
    </xdr:to>
    <xdr:grpSp>
      <xdr:nvGrpSpPr>
        <xdr:cNvPr id="204" name="グループ化 203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GrpSpPr/>
      </xdr:nvGrpSpPr>
      <xdr:grpSpPr>
        <a:xfrm rot="10800000">
          <a:off x="2696624" y="5687475"/>
          <a:ext cx="475201" cy="475200"/>
          <a:chOff x="3637122" y="6385992"/>
          <a:chExt cx="475200" cy="475200"/>
        </a:xfrm>
      </xdr:grpSpPr>
      <xdr:sp macro="" textlink="">
        <xdr:nvSpPr>
          <xdr:cNvPr id="205" name="正方形/長方形 204">
            <a:extLst>
              <a:ext uri="{FF2B5EF4-FFF2-40B4-BE49-F238E27FC236}">
                <a16:creationId xmlns:a16="http://schemas.microsoft.com/office/drawing/2014/main" id="{00000000-0008-0000-0300-0000CD000000}"/>
              </a:ext>
            </a:extLst>
          </xdr:cNvPr>
          <xdr:cNvSpPr/>
        </xdr:nvSpPr>
        <xdr:spPr>
          <a:xfrm rot="5400000">
            <a:off x="3639781" y="6388651"/>
            <a:ext cx="475200" cy="469882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sp macro="" textlink="">
        <xdr:nvSpPr>
          <xdr:cNvPr id="206" name="フリーフォーム: 図形 205">
            <a:extLst>
              <a:ext uri="{FF2B5EF4-FFF2-40B4-BE49-F238E27FC236}">
                <a16:creationId xmlns:a16="http://schemas.microsoft.com/office/drawing/2014/main" id="{00000000-0008-0000-0300-0000CE000000}"/>
              </a:ext>
            </a:extLst>
          </xdr:cNvPr>
          <xdr:cNvSpPr/>
        </xdr:nvSpPr>
        <xdr:spPr>
          <a:xfrm rot="5400000">
            <a:off x="3640884" y="6394912"/>
            <a:ext cx="229688" cy="237213"/>
          </a:xfrm>
          <a:custGeom>
            <a:avLst/>
            <a:gdLst>
              <a:gd name="connsiteX0" fmla="*/ 0 w 249986"/>
              <a:gd name="connsiteY0" fmla="*/ 0 h 250658"/>
              <a:gd name="connsiteX1" fmla="*/ 115303 w 249986"/>
              <a:gd name="connsiteY1" fmla="*/ 15039 h 250658"/>
              <a:gd name="connsiteX2" fmla="*/ 200526 w 249986"/>
              <a:gd name="connsiteY2" fmla="*/ 75197 h 250658"/>
              <a:gd name="connsiteX3" fmla="*/ 245645 w 249986"/>
              <a:gd name="connsiteY3" fmla="*/ 195513 h 250658"/>
              <a:gd name="connsiteX4" fmla="*/ 245645 w 249986"/>
              <a:gd name="connsiteY4" fmla="*/ 250658 h 2506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9986" h="250658">
                <a:moveTo>
                  <a:pt x="0" y="0"/>
                </a:moveTo>
                <a:cubicBezTo>
                  <a:pt x="40941" y="1253"/>
                  <a:pt x="81882" y="2506"/>
                  <a:pt x="115303" y="15039"/>
                </a:cubicBezTo>
                <a:cubicBezTo>
                  <a:pt x="148724" y="27572"/>
                  <a:pt x="178802" y="45118"/>
                  <a:pt x="200526" y="75197"/>
                </a:cubicBezTo>
                <a:cubicBezTo>
                  <a:pt x="222250" y="105276"/>
                  <a:pt x="238125" y="166270"/>
                  <a:pt x="245645" y="195513"/>
                </a:cubicBezTo>
                <a:cubicBezTo>
                  <a:pt x="253165" y="224756"/>
                  <a:pt x="249405" y="237707"/>
                  <a:pt x="245645" y="250658"/>
                </a:cubicBezTo>
              </a:path>
            </a:pathLst>
          </a:cu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 fLocksWithSheet="0"/>
  </xdr:twoCellAnchor>
  <xdr:twoCellAnchor>
    <xdr:from>
      <xdr:col>6</xdr:col>
      <xdr:colOff>0</xdr:colOff>
      <xdr:row>12</xdr:row>
      <xdr:rowOff>0</xdr:rowOff>
    </xdr:from>
    <xdr:to>
      <xdr:col>6</xdr:col>
      <xdr:colOff>479342</xdr:colOff>
      <xdr:row>12</xdr:row>
      <xdr:rowOff>479341</xdr:rowOff>
    </xdr:to>
    <xdr:grpSp>
      <xdr:nvGrpSpPr>
        <xdr:cNvPr id="207" name="グループ化 206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GrpSpPr/>
      </xdr:nvGrpSpPr>
      <xdr:grpSpPr>
        <a:xfrm rot="10800000">
          <a:off x="2695575" y="4733925"/>
          <a:ext cx="479342" cy="479341"/>
          <a:chOff x="3637122" y="6385992"/>
          <a:chExt cx="475200" cy="475200"/>
        </a:xfrm>
      </xdr:grpSpPr>
      <xdr:sp macro="" textlink="">
        <xdr:nvSpPr>
          <xdr:cNvPr id="208" name="正方形/長方形 207">
            <a:extLst>
              <a:ext uri="{FF2B5EF4-FFF2-40B4-BE49-F238E27FC236}">
                <a16:creationId xmlns:a16="http://schemas.microsoft.com/office/drawing/2014/main" id="{00000000-0008-0000-0300-0000D0000000}"/>
              </a:ext>
            </a:extLst>
          </xdr:cNvPr>
          <xdr:cNvSpPr/>
        </xdr:nvSpPr>
        <xdr:spPr>
          <a:xfrm rot="5400000">
            <a:off x="3639781" y="6388651"/>
            <a:ext cx="475200" cy="469882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sp macro="" textlink="">
        <xdr:nvSpPr>
          <xdr:cNvPr id="209" name="フリーフォーム: 図形 208">
            <a:extLst>
              <a:ext uri="{FF2B5EF4-FFF2-40B4-BE49-F238E27FC236}">
                <a16:creationId xmlns:a16="http://schemas.microsoft.com/office/drawing/2014/main" id="{00000000-0008-0000-0300-0000D1000000}"/>
              </a:ext>
            </a:extLst>
          </xdr:cNvPr>
          <xdr:cNvSpPr/>
        </xdr:nvSpPr>
        <xdr:spPr>
          <a:xfrm rot="5400000">
            <a:off x="3640884" y="6394912"/>
            <a:ext cx="229688" cy="237213"/>
          </a:xfrm>
          <a:custGeom>
            <a:avLst/>
            <a:gdLst>
              <a:gd name="connsiteX0" fmla="*/ 0 w 249986"/>
              <a:gd name="connsiteY0" fmla="*/ 0 h 250658"/>
              <a:gd name="connsiteX1" fmla="*/ 115303 w 249986"/>
              <a:gd name="connsiteY1" fmla="*/ 15039 h 250658"/>
              <a:gd name="connsiteX2" fmla="*/ 200526 w 249986"/>
              <a:gd name="connsiteY2" fmla="*/ 75197 h 250658"/>
              <a:gd name="connsiteX3" fmla="*/ 245645 w 249986"/>
              <a:gd name="connsiteY3" fmla="*/ 195513 h 250658"/>
              <a:gd name="connsiteX4" fmla="*/ 245645 w 249986"/>
              <a:gd name="connsiteY4" fmla="*/ 250658 h 2506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9986" h="250658">
                <a:moveTo>
                  <a:pt x="0" y="0"/>
                </a:moveTo>
                <a:cubicBezTo>
                  <a:pt x="40941" y="1253"/>
                  <a:pt x="81882" y="2506"/>
                  <a:pt x="115303" y="15039"/>
                </a:cubicBezTo>
                <a:cubicBezTo>
                  <a:pt x="148724" y="27572"/>
                  <a:pt x="178802" y="45118"/>
                  <a:pt x="200526" y="75197"/>
                </a:cubicBezTo>
                <a:cubicBezTo>
                  <a:pt x="222250" y="105276"/>
                  <a:pt x="238125" y="166270"/>
                  <a:pt x="245645" y="195513"/>
                </a:cubicBezTo>
                <a:cubicBezTo>
                  <a:pt x="253165" y="224756"/>
                  <a:pt x="249405" y="237707"/>
                  <a:pt x="245645" y="250658"/>
                </a:cubicBezTo>
              </a:path>
            </a:pathLst>
          </a:cu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6</xdr:col>
      <xdr:colOff>1049</xdr:colOff>
      <xdr:row>13</xdr:row>
      <xdr:rowOff>1050</xdr:rowOff>
    </xdr:from>
    <xdr:to>
      <xdr:col>7</xdr:col>
      <xdr:colOff>0</xdr:colOff>
      <xdr:row>14</xdr:row>
      <xdr:rowOff>0</xdr:rowOff>
    </xdr:to>
    <xdr:grpSp>
      <xdr:nvGrpSpPr>
        <xdr:cNvPr id="210" name="グループ化 209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GrpSpPr/>
      </xdr:nvGrpSpPr>
      <xdr:grpSpPr>
        <a:xfrm>
          <a:off x="2696624" y="5211225"/>
          <a:ext cx="475201" cy="475200"/>
          <a:chOff x="3637122" y="6385992"/>
          <a:chExt cx="475200" cy="475200"/>
        </a:xfrm>
      </xdr:grpSpPr>
      <xdr:sp macro="" textlink="">
        <xdr:nvSpPr>
          <xdr:cNvPr id="211" name="正方形/長方形 210">
            <a:extLst>
              <a:ext uri="{FF2B5EF4-FFF2-40B4-BE49-F238E27FC236}">
                <a16:creationId xmlns:a16="http://schemas.microsoft.com/office/drawing/2014/main" id="{00000000-0008-0000-0300-0000D3000000}"/>
              </a:ext>
            </a:extLst>
          </xdr:cNvPr>
          <xdr:cNvSpPr/>
        </xdr:nvSpPr>
        <xdr:spPr>
          <a:xfrm rot="5400000">
            <a:off x="3639781" y="6388651"/>
            <a:ext cx="475200" cy="469882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sp macro="" textlink="">
        <xdr:nvSpPr>
          <xdr:cNvPr id="212" name="フリーフォーム: 図形 211">
            <a:extLst>
              <a:ext uri="{FF2B5EF4-FFF2-40B4-BE49-F238E27FC236}">
                <a16:creationId xmlns:a16="http://schemas.microsoft.com/office/drawing/2014/main" id="{00000000-0008-0000-0300-0000D4000000}"/>
              </a:ext>
            </a:extLst>
          </xdr:cNvPr>
          <xdr:cNvSpPr/>
        </xdr:nvSpPr>
        <xdr:spPr>
          <a:xfrm rot="5400000">
            <a:off x="3640884" y="6394912"/>
            <a:ext cx="229688" cy="237213"/>
          </a:xfrm>
          <a:custGeom>
            <a:avLst/>
            <a:gdLst>
              <a:gd name="connsiteX0" fmla="*/ 0 w 249986"/>
              <a:gd name="connsiteY0" fmla="*/ 0 h 250658"/>
              <a:gd name="connsiteX1" fmla="*/ 115303 w 249986"/>
              <a:gd name="connsiteY1" fmla="*/ 15039 h 250658"/>
              <a:gd name="connsiteX2" fmla="*/ 200526 w 249986"/>
              <a:gd name="connsiteY2" fmla="*/ 75197 h 250658"/>
              <a:gd name="connsiteX3" fmla="*/ 245645 w 249986"/>
              <a:gd name="connsiteY3" fmla="*/ 195513 h 250658"/>
              <a:gd name="connsiteX4" fmla="*/ 245645 w 249986"/>
              <a:gd name="connsiteY4" fmla="*/ 250658 h 2506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9986" h="250658">
                <a:moveTo>
                  <a:pt x="0" y="0"/>
                </a:moveTo>
                <a:cubicBezTo>
                  <a:pt x="40941" y="1253"/>
                  <a:pt x="81882" y="2506"/>
                  <a:pt x="115303" y="15039"/>
                </a:cubicBezTo>
                <a:cubicBezTo>
                  <a:pt x="148724" y="27572"/>
                  <a:pt x="178802" y="45118"/>
                  <a:pt x="200526" y="75197"/>
                </a:cubicBezTo>
                <a:cubicBezTo>
                  <a:pt x="222250" y="105276"/>
                  <a:pt x="238125" y="166270"/>
                  <a:pt x="245645" y="195513"/>
                </a:cubicBezTo>
                <a:cubicBezTo>
                  <a:pt x="253165" y="224756"/>
                  <a:pt x="249405" y="237707"/>
                  <a:pt x="245645" y="250658"/>
                </a:cubicBezTo>
              </a:path>
            </a:pathLst>
          </a:cu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 fLocksWithSheet="0"/>
  </xdr:twoCellAnchor>
  <xdr:twoCellAnchor>
    <xdr:from>
      <xdr:col>3</xdr:col>
      <xdr:colOff>2582</xdr:colOff>
      <xdr:row>13</xdr:row>
      <xdr:rowOff>3371</xdr:rowOff>
    </xdr:from>
    <xdr:to>
      <xdr:col>4</xdr:col>
      <xdr:colOff>1533</xdr:colOff>
      <xdr:row>14</xdr:row>
      <xdr:rowOff>2321</xdr:rowOff>
    </xdr:to>
    <xdr:grpSp>
      <xdr:nvGrpSpPr>
        <xdr:cNvPr id="213" name="グループ化 212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GrpSpPr/>
      </xdr:nvGrpSpPr>
      <xdr:grpSpPr>
        <a:xfrm rot="10800000">
          <a:off x="1269407" y="5213546"/>
          <a:ext cx="475201" cy="475200"/>
          <a:chOff x="3637122" y="6385992"/>
          <a:chExt cx="475200" cy="475200"/>
        </a:xfrm>
      </xdr:grpSpPr>
      <xdr:sp macro="" textlink="">
        <xdr:nvSpPr>
          <xdr:cNvPr id="214" name="正方形/長方形 213">
            <a:extLst>
              <a:ext uri="{FF2B5EF4-FFF2-40B4-BE49-F238E27FC236}">
                <a16:creationId xmlns:a16="http://schemas.microsoft.com/office/drawing/2014/main" id="{00000000-0008-0000-0300-0000D6000000}"/>
              </a:ext>
            </a:extLst>
          </xdr:cNvPr>
          <xdr:cNvSpPr/>
        </xdr:nvSpPr>
        <xdr:spPr>
          <a:xfrm rot="5400000">
            <a:off x="3639781" y="6388651"/>
            <a:ext cx="475200" cy="469882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sp macro="" textlink="">
        <xdr:nvSpPr>
          <xdr:cNvPr id="215" name="フリーフォーム: 図形 214">
            <a:extLst>
              <a:ext uri="{FF2B5EF4-FFF2-40B4-BE49-F238E27FC236}">
                <a16:creationId xmlns:a16="http://schemas.microsoft.com/office/drawing/2014/main" id="{00000000-0008-0000-0300-0000D7000000}"/>
              </a:ext>
            </a:extLst>
          </xdr:cNvPr>
          <xdr:cNvSpPr/>
        </xdr:nvSpPr>
        <xdr:spPr>
          <a:xfrm rot="5400000">
            <a:off x="3640884" y="6394912"/>
            <a:ext cx="229688" cy="237213"/>
          </a:xfrm>
          <a:custGeom>
            <a:avLst/>
            <a:gdLst>
              <a:gd name="connsiteX0" fmla="*/ 0 w 249986"/>
              <a:gd name="connsiteY0" fmla="*/ 0 h 250658"/>
              <a:gd name="connsiteX1" fmla="*/ 115303 w 249986"/>
              <a:gd name="connsiteY1" fmla="*/ 15039 h 250658"/>
              <a:gd name="connsiteX2" fmla="*/ 200526 w 249986"/>
              <a:gd name="connsiteY2" fmla="*/ 75197 h 250658"/>
              <a:gd name="connsiteX3" fmla="*/ 245645 w 249986"/>
              <a:gd name="connsiteY3" fmla="*/ 195513 h 250658"/>
              <a:gd name="connsiteX4" fmla="*/ 245645 w 249986"/>
              <a:gd name="connsiteY4" fmla="*/ 250658 h 2506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9986" h="250658">
                <a:moveTo>
                  <a:pt x="0" y="0"/>
                </a:moveTo>
                <a:cubicBezTo>
                  <a:pt x="40941" y="1253"/>
                  <a:pt x="81882" y="2506"/>
                  <a:pt x="115303" y="15039"/>
                </a:cubicBezTo>
                <a:cubicBezTo>
                  <a:pt x="148724" y="27572"/>
                  <a:pt x="178802" y="45118"/>
                  <a:pt x="200526" y="75197"/>
                </a:cubicBezTo>
                <a:cubicBezTo>
                  <a:pt x="222250" y="105276"/>
                  <a:pt x="238125" y="166270"/>
                  <a:pt x="245645" y="195513"/>
                </a:cubicBezTo>
                <a:cubicBezTo>
                  <a:pt x="253165" y="224756"/>
                  <a:pt x="249405" y="237707"/>
                  <a:pt x="245645" y="250658"/>
                </a:cubicBezTo>
              </a:path>
            </a:pathLst>
          </a:cu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 fLocksWithSheet="0"/>
  </xdr:twoCellAnchor>
  <xdr:twoCellAnchor>
    <xdr:from>
      <xdr:col>3</xdr:col>
      <xdr:colOff>1709</xdr:colOff>
      <xdr:row>13</xdr:row>
      <xdr:rowOff>476352</xdr:rowOff>
    </xdr:from>
    <xdr:to>
      <xdr:col>4</xdr:col>
      <xdr:colOff>661</xdr:colOff>
      <xdr:row>14</xdr:row>
      <xdr:rowOff>475302</xdr:rowOff>
    </xdr:to>
    <xdr:grpSp>
      <xdr:nvGrpSpPr>
        <xdr:cNvPr id="216" name="グループ化 215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GrpSpPr/>
      </xdr:nvGrpSpPr>
      <xdr:grpSpPr>
        <a:xfrm>
          <a:off x="1268534" y="5686527"/>
          <a:ext cx="475202" cy="475200"/>
          <a:chOff x="3637122" y="6385992"/>
          <a:chExt cx="475200" cy="475200"/>
        </a:xfrm>
      </xdr:grpSpPr>
      <xdr:sp macro="" textlink="">
        <xdr:nvSpPr>
          <xdr:cNvPr id="217" name="正方形/長方形 216">
            <a:extLst>
              <a:ext uri="{FF2B5EF4-FFF2-40B4-BE49-F238E27FC236}">
                <a16:creationId xmlns:a16="http://schemas.microsoft.com/office/drawing/2014/main" id="{00000000-0008-0000-0300-0000D9000000}"/>
              </a:ext>
            </a:extLst>
          </xdr:cNvPr>
          <xdr:cNvSpPr/>
        </xdr:nvSpPr>
        <xdr:spPr>
          <a:xfrm rot="5400000">
            <a:off x="3639781" y="6388651"/>
            <a:ext cx="475200" cy="469882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sp macro="" textlink="">
        <xdr:nvSpPr>
          <xdr:cNvPr id="218" name="フリーフォーム: 図形 217">
            <a:extLst>
              <a:ext uri="{FF2B5EF4-FFF2-40B4-BE49-F238E27FC236}">
                <a16:creationId xmlns:a16="http://schemas.microsoft.com/office/drawing/2014/main" id="{00000000-0008-0000-0300-0000DA000000}"/>
              </a:ext>
            </a:extLst>
          </xdr:cNvPr>
          <xdr:cNvSpPr/>
        </xdr:nvSpPr>
        <xdr:spPr>
          <a:xfrm rot="5400000">
            <a:off x="3640884" y="6394912"/>
            <a:ext cx="229688" cy="237213"/>
          </a:xfrm>
          <a:custGeom>
            <a:avLst/>
            <a:gdLst>
              <a:gd name="connsiteX0" fmla="*/ 0 w 249986"/>
              <a:gd name="connsiteY0" fmla="*/ 0 h 250658"/>
              <a:gd name="connsiteX1" fmla="*/ 115303 w 249986"/>
              <a:gd name="connsiteY1" fmla="*/ 15039 h 250658"/>
              <a:gd name="connsiteX2" fmla="*/ 200526 w 249986"/>
              <a:gd name="connsiteY2" fmla="*/ 75197 h 250658"/>
              <a:gd name="connsiteX3" fmla="*/ 245645 w 249986"/>
              <a:gd name="connsiteY3" fmla="*/ 195513 h 250658"/>
              <a:gd name="connsiteX4" fmla="*/ 245645 w 249986"/>
              <a:gd name="connsiteY4" fmla="*/ 250658 h 2506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9986" h="250658">
                <a:moveTo>
                  <a:pt x="0" y="0"/>
                </a:moveTo>
                <a:cubicBezTo>
                  <a:pt x="40941" y="1253"/>
                  <a:pt x="81882" y="2506"/>
                  <a:pt x="115303" y="15039"/>
                </a:cubicBezTo>
                <a:cubicBezTo>
                  <a:pt x="148724" y="27572"/>
                  <a:pt x="178802" y="45118"/>
                  <a:pt x="200526" y="75197"/>
                </a:cubicBezTo>
                <a:cubicBezTo>
                  <a:pt x="222250" y="105276"/>
                  <a:pt x="238125" y="166270"/>
                  <a:pt x="245645" y="195513"/>
                </a:cubicBezTo>
                <a:cubicBezTo>
                  <a:pt x="253165" y="224756"/>
                  <a:pt x="249405" y="237707"/>
                  <a:pt x="245645" y="250658"/>
                </a:cubicBezTo>
              </a:path>
            </a:pathLst>
          </a:cu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 fLocksWithSheet="0"/>
  </xdr:twoCellAnchor>
  <xdr:twoCellAnchor>
    <xdr:from>
      <xdr:col>2</xdr:col>
      <xdr:colOff>10866</xdr:colOff>
      <xdr:row>13</xdr:row>
      <xdr:rowOff>475480</xdr:rowOff>
    </xdr:from>
    <xdr:to>
      <xdr:col>3</xdr:col>
      <xdr:colOff>9816</xdr:colOff>
      <xdr:row>14</xdr:row>
      <xdr:rowOff>474432</xdr:rowOff>
    </xdr:to>
    <xdr:grpSp>
      <xdr:nvGrpSpPr>
        <xdr:cNvPr id="219" name="グループ化 218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GrpSpPr/>
      </xdr:nvGrpSpPr>
      <xdr:grpSpPr>
        <a:xfrm rot="5400000">
          <a:off x="801440" y="5685656"/>
          <a:ext cx="475202" cy="475200"/>
          <a:chOff x="3637122" y="6385992"/>
          <a:chExt cx="475200" cy="475200"/>
        </a:xfrm>
      </xdr:grpSpPr>
      <xdr:sp macro="" textlink="">
        <xdr:nvSpPr>
          <xdr:cNvPr id="220" name="正方形/長方形 219">
            <a:extLst>
              <a:ext uri="{FF2B5EF4-FFF2-40B4-BE49-F238E27FC236}">
                <a16:creationId xmlns:a16="http://schemas.microsoft.com/office/drawing/2014/main" id="{00000000-0008-0000-0300-0000DC000000}"/>
              </a:ext>
            </a:extLst>
          </xdr:cNvPr>
          <xdr:cNvSpPr/>
        </xdr:nvSpPr>
        <xdr:spPr>
          <a:xfrm rot="5400000">
            <a:off x="3639781" y="6388651"/>
            <a:ext cx="475200" cy="469882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sp macro="" textlink="">
        <xdr:nvSpPr>
          <xdr:cNvPr id="221" name="フリーフォーム: 図形 220">
            <a:extLst>
              <a:ext uri="{FF2B5EF4-FFF2-40B4-BE49-F238E27FC236}">
                <a16:creationId xmlns:a16="http://schemas.microsoft.com/office/drawing/2014/main" id="{00000000-0008-0000-0300-0000DD000000}"/>
              </a:ext>
            </a:extLst>
          </xdr:cNvPr>
          <xdr:cNvSpPr/>
        </xdr:nvSpPr>
        <xdr:spPr>
          <a:xfrm rot="5400000">
            <a:off x="3640884" y="6394912"/>
            <a:ext cx="229688" cy="237213"/>
          </a:xfrm>
          <a:custGeom>
            <a:avLst/>
            <a:gdLst>
              <a:gd name="connsiteX0" fmla="*/ 0 w 249986"/>
              <a:gd name="connsiteY0" fmla="*/ 0 h 250658"/>
              <a:gd name="connsiteX1" fmla="*/ 115303 w 249986"/>
              <a:gd name="connsiteY1" fmla="*/ 15039 h 250658"/>
              <a:gd name="connsiteX2" fmla="*/ 200526 w 249986"/>
              <a:gd name="connsiteY2" fmla="*/ 75197 h 250658"/>
              <a:gd name="connsiteX3" fmla="*/ 245645 w 249986"/>
              <a:gd name="connsiteY3" fmla="*/ 195513 h 250658"/>
              <a:gd name="connsiteX4" fmla="*/ 245645 w 249986"/>
              <a:gd name="connsiteY4" fmla="*/ 250658 h 2506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9986" h="250658">
                <a:moveTo>
                  <a:pt x="0" y="0"/>
                </a:moveTo>
                <a:cubicBezTo>
                  <a:pt x="40941" y="1253"/>
                  <a:pt x="81882" y="2506"/>
                  <a:pt x="115303" y="15039"/>
                </a:cubicBezTo>
                <a:cubicBezTo>
                  <a:pt x="148724" y="27572"/>
                  <a:pt x="178802" y="45118"/>
                  <a:pt x="200526" y="75197"/>
                </a:cubicBezTo>
                <a:cubicBezTo>
                  <a:pt x="222250" y="105276"/>
                  <a:pt x="238125" y="166270"/>
                  <a:pt x="245645" y="195513"/>
                </a:cubicBezTo>
                <a:cubicBezTo>
                  <a:pt x="253165" y="224756"/>
                  <a:pt x="249405" y="237707"/>
                  <a:pt x="245645" y="250658"/>
                </a:cubicBezTo>
              </a:path>
            </a:pathLst>
          </a:cu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 fLocksWithSheet="0"/>
  </xdr:twoCellAnchor>
  <xdr:twoCellAnchor>
    <xdr:from>
      <xdr:col>3</xdr:col>
      <xdr:colOff>1050</xdr:colOff>
      <xdr:row>11</xdr:row>
      <xdr:rowOff>0</xdr:rowOff>
    </xdr:from>
    <xdr:to>
      <xdr:col>4</xdr:col>
      <xdr:colOff>0</xdr:colOff>
      <xdr:row>11</xdr:row>
      <xdr:rowOff>479343</xdr:rowOff>
    </xdr:to>
    <xdr:grpSp>
      <xdr:nvGrpSpPr>
        <xdr:cNvPr id="222" name="グループ化 221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GrpSpPr/>
      </xdr:nvGrpSpPr>
      <xdr:grpSpPr>
        <a:xfrm rot="5400000">
          <a:off x="1265803" y="4259747"/>
          <a:ext cx="479343" cy="475200"/>
          <a:chOff x="3637122" y="6385992"/>
          <a:chExt cx="475200" cy="475200"/>
        </a:xfrm>
      </xdr:grpSpPr>
      <xdr:sp macro="" textlink="">
        <xdr:nvSpPr>
          <xdr:cNvPr id="223" name="正方形/長方形 222">
            <a:extLst>
              <a:ext uri="{FF2B5EF4-FFF2-40B4-BE49-F238E27FC236}">
                <a16:creationId xmlns:a16="http://schemas.microsoft.com/office/drawing/2014/main" id="{00000000-0008-0000-0300-0000DF000000}"/>
              </a:ext>
            </a:extLst>
          </xdr:cNvPr>
          <xdr:cNvSpPr/>
        </xdr:nvSpPr>
        <xdr:spPr>
          <a:xfrm rot="5400000">
            <a:off x="3639781" y="6388651"/>
            <a:ext cx="475200" cy="469882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sp macro="" textlink="">
        <xdr:nvSpPr>
          <xdr:cNvPr id="224" name="フリーフォーム: 図形 223">
            <a:extLst>
              <a:ext uri="{FF2B5EF4-FFF2-40B4-BE49-F238E27FC236}">
                <a16:creationId xmlns:a16="http://schemas.microsoft.com/office/drawing/2014/main" id="{00000000-0008-0000-0300-0000E0000000}"/>
              </a:ext>
            </a:extLst>
          </xdr:cNvPr>
          <xdr:cNvSpPr/>
        </xdr:nvSpPr>
        <xdr:spPr>
          <a:xfrm rot="5400000">
            <a:off x="3640884" y="6394912"/>
            <a:ext cx="229688" cy="237213"/>
          </a:xfrm>
          <a:custGeom>
            <a:avLst/>
            <a:gdLst>
              <a:gd name="connsiteX0" fmla="*/ 0 w 249986"/>
              <a:gd name="connsiteY0" fmla="*/ 0 h 250658"/>
              <a:gd name="connsiteX1" fmla="*/ 115303 w 249986"/>
              <a:gd name="connsiteY1" fmla="*/ 15039 h 250658"/>
              <a:gd name="connsiteX2" fmla="*/ 200526 w 249986"/>
              <a:gd name="connsiteY2" fmla="*/ 75197 h 250658"/>
              <a:gd name="connsiteX3" fmla="*/ 245645 w 249986"/>
              <a:gd name="connsiteY3" fmla="*/ 195513 h 250658"/>
              <a:gd name="connsiteX4" fmla="*/ 245645 w 249986"/>
              <a:gd name="connsiteY4" fmla="*/ 250658 h 2506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9986" h="250658">
                <a:moveTo>
                  <a:pt x="0" y="0"/>
                </a:moveTo>
                <a:cubicBezTo>
                  <a:pt x="40941" y="1253"/>
                  <a:pt x="81882" y="2506"/>
                  <a:pt x="115303" y="15039"/>
                </a:cubicBezTo>
                <a:cubicBezTo>
                  <a:pt x="148724" y="27572"/>
                  <a:pt x="178802" y="45118"/>
                  <a:pt x="200526" y="75197"/>
                </a:cubicBezTo>
                <a:cubicBezTo>
                  <a:pt x="222250" y="105276"/>
                  <a:pt x="238125" y="166270"/>
                  <a:pt x="245645" y="195513"/>
                </a:cubicBezTo>
                <a:cubicBezTo>
                  <a:pt x="253165" y="224756"/>
                  <a:pt x="249405" y="237707"/>
                  <a:pt x="245645" y="250658"/>
                </a:cubicBezTo>
              </a:path>
            </a:pathLst>
          </a:cu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5</xdr:col>
      <xdr:colOff>1049</xdr:colOff>
      <xdr:row>11</xdr:row>
      <xdr:rowOff>1050</xdr:rowOff>
    </xdr:from>
    <xdr:to>
      <xdr:col>6</xdr:col>
      <xdr:colOff>0</xdr:colOff>
      <xdr:row>12</xdr:row>
      <xdr:rowOff>0</xdr:rowOff>
    </xdr:to>
    <xdr:grpSp>
      <xdr:nvGrpSpPr>
        <xdr:cNvPr id="225" name="グループ化 224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GrpSpPr/>
      </xdr:nvGrpSpPr>
      <xdr:grpSpPr>
        <a:xfrm>
          <a:off x="2220374" y="4258725"/>
          <a:ext cx="475201" cy="475200"/>
          <a:chOff x="3637122" y="6385992"/>
          <a:chExt cx="475200" cy="475200"/>
        </a:xfrm>
      </xdr:grpSpPr>
      <xdr:sp macro="" textlink="">
        <xdr:nvSpPr>
          <xdr:cNvPr id="226" name="正方形/長方形 225">
            <a:extLst>
              <a:ext uri="{FF2B5EF4-FFF2-40B4-BE49-F238E27FC236}">
                <a16:creationId xmlns:a16="http://schemas.microsoft.com/office/drawing/2014/main" id="{00000000-0008-0000-0300-0000E2000000}"/>
              </a:ext>
            </a:extLst>
          </xdr:cNvPr>
          <xdr:cNvSpPr/>
        </xdr:nvSpPr>
        <xdr:spPr>
          <a:xfrm rot="5400000">
            <a:off x="3639781" y="6388651"/>
            <a:ext cx="475200" cy="469882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sp macro="" textlink="">
        <xdr:nvSpPr>
          <xdr:cNvPr id="227" name="フリーフォーム: 図形 226">
            <a:extLst>
              <a:ext uri="{FF2B5EF4-FFF2-40B4-BE49-F238E27FC236}">
                <a16:creationId xmlns:a16="http://schemas.microsoft.com/office/drawing/2014/main" id="{00000000-0008-0000-0300-0000E3000000}"/>
              </a:ext>
            </a:extLst>
          </xdr:cNvPr>
          <xdr:cNvSpPr/>
        </xdr:nvSpPr>
        <xdr:spPr>
          <a:xfrm rot="5400000">
            <a:off x="3640884" y="6394912"/>
            <a:ext cx="229688" cy="237213"/>
          </a:xfrm>
          <a:custGeom>
            <a:avLst/>
            <a:gdLst>
              <a:gd name="connsiteX0" fmla="*/ 0 w 249986"/>
              <a:gd name="connsiteY0" fmla="*/ 0 h 250658"/>
              <a:gd name="connsiteX1" fmla="*/ 115303 w 249986"/>
              <a:gd name="connsiteY1" fmla="*/ 15039 h 250658"/>
              <a:gd name="connsiteX2" fmla="*/ 200526 w 249986"/>
              <a:gd name="connsiteY2" fmla="*/ 75197 h 250658"/>
              <a:gd name="connsiteX3" fmla="*/ 245645 w 249986"/>
              <a:gd name="connsiteY3" fmla="*/ 195513 h 250658"/>
              <a:gd name="connsiteX4" fmla="*/ 245645 w 249986"/>
              <a:gd name="connsiteY4" fmla="*/ 250658 h 2506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9986" h="250658">
                <a:moveTo>
                  <a:pt x="0" y="0"/>
                </a:moveTo>
                <a:cubicBezTo>
                  <a:pt x="40941" y="1253"/>
                  <a:pt x="81882" y="2506"/>
                  <a:pt x="115303" y="15039"/>
                </a:cubicBezTo>
                <a:cubicBezTo>
                  <a:pt x="148724" y="27572"/>
                  <a:pt x="178802" y="45118"/>
                  <a:pt x="200526" y="75197"/>
                </a:cubicBezTo>
                <a:cubicBezTo>
                  <a:pt x="222250" y="105276"/>
                  <a:pt x="238125" y="166270"/>
                  <a:pt x="245645" y="195513"/>
                </a:cubicBezTo>
                <a:cubicBezTo>
                  <a:pt x="253165" y="224756"/>
                  <a:pt x="249405" y="237707"/>
                  <a:pt x="245645" y="250658"/>
                </a:cubicBezTo>
              </a:path>
            </a:pathLst>
          </a:cu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5</xdr:col>
      <xdr:colOff>1</xdr:colOff>
      <xdr:row>9</xdr:row>
      <xdr:rowOff>480390</xdr:rowOff>
    </xdr:from>
    <xdr:to>
      <xdr:col>5</xdr:col>
      <xdr:colOff>479343</xdr:colOff>
      <xdr:row>10</xdr:row>
      <xdr:rowOff>479342</xdr:rowOff>
    </xdr:to>
    <xdr:grpSp>
      <xdr:nvGrpSpPr>
        <xdr:cNvPr id="228" name="グループ化 227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GrpSpPr/>
      </xdr:nvGrpSpPr>
      <xdr:grpSpPr>
        <a:xfrm rot="-5400000">
          <a:off x="2221396" y="3783495"/>
          <a:ext cx="475202" cy="479342"/>
          <a:chOff x="3637122" y="6385992"/>
          <a:chExt cx="475200" cy="475200"/>
        </a:xfrm>
      </xdr:grpSpPr>
      <xdr:sp macro="" textlink="">
        <xdr:nvSpPr>
          <xdr:cNvPr id="229" name="正方形/長方形 228">
            <a:extLst>
              <a:ext uri="{FF2B5EF4-FFF2-40B4-BE49-F238E27FC236}">
                <a16:creationId xmlns:a16="http://schemas.microsoft.com/office/drawing/2014/main" id="{00000000-0008-0000-0300-0000E5000000}"/>
              </a:ext>
            </a:extLst>
          </xdr:cNvPr>
          <xdr:cNvSpPr/>
        </xdr:nvSpPr>
        <xdr:spPr>
          <a:xfrm rot="5400000">
            <a:off x="3639781" y="6388651"/>
            <a:ext cx="475200" cy="469882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sp macro="" textlink="">
        <xdr:nvSpPr>
          <xdr:cNvPr id="230" name="フリーフォーム: 図形 229">
            <a:extLst>
              <a:ext uri="{FF2B5EF4-FFF2-40B4-BE49-F238E27FC236}">
                <a16:creationId xmlns:a16="http://schemas.microsoft.com/office/drawing/2014/main" id="{00000000-0008-0000-0300-0000E6000000}"/>
              </a:ext>
            </a:extLst>
          </xdr:cNvPr>
          <xdr:cNvSpPr/>
        </xdr:nvSpPr>
        <xdr:spPr>
          <a:xfrm rot="5400000">
            <a:off x="3640884" y="6394912"/>
            <a:ext cx="229688" cy="237213"/>
          </a:xfrm>
          <a:custGeom>
            <a:avLst/>
            <a:gdLst>
              <a:gd name="connsiteX0" fmla="*/ 0 w 249986"/>
              <a:gd name="connsiteY0" fmla="*/ 0 h 250658"/>
              <a:gd name="connsiteX1" fmla="*/ 115303 w 249986"/>
              <a:gd name="connsiteY1" fmla="*/ 15039 h 250658"/>
              <a:gd name="connsiteX2" fmla="*/ 200526 w 249986"/>
              <a:gd name="connsiteY2" fmla="*/ 75197 h 250658"/>
              <a:gd name="connsiteX3" fmla="*/ 245645 w 249986"/>
              <a:gd name="connsiteY3" fmla="*/ 195513 h 250658"/>
              <a:gd name="connsiteX4" fmla="*/ 245645 w 249986"/>
              <a:gd name="connsiteY4" fmla="*/ 250658 h 2506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9986" h="250658">
                <a:moveTo>
                  <a:pt x="0" y="0"/>
                </a:moveTo>
                <a:cubicBezTo>
                  <a:pt x="40941" y="1253"/>
                  <a:pt x="81882" y="2506"/>
                  <a:pt x="115303" y="15039"/>
                </a:cubicBezTo>
                <a:cubicBezTo>
                  <a:pt x="148724" y="27572"/>
                  <a:pt x="178802" y="45118"/>
                  <a:pt x="200526" y="75197"/>
                </a:cubicBezTo>
                <a:cubicBezTo>
                  <a:pt x="222250" y="105276"/>
                  <a:pt x="238125" y="166270"/>
                  <a:pt x="245645" y="195513"/>
                </a:cubicBezTo>
                <a:cubicBezTo>
                  <a:pt x="253165" y="224756"/>
                  <a:pt x="249405" y="237707"/>
                  <a:pt x="245645" y="250658"/>
                </a:cubicBezTo>
              </a:path>
            </a:pathLst>
          </a:cu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4</xdr:col>
      <xdr:colOff>1049</xdr:colOff>
      <xdr:row>10</xdr:row>
      <xdr:rowOff>1050</xdr:rowOff>
    </xdr:from>
    <xdr:to>
      <xdr:col>4</xdr:col>
      <xdr:colOff>480390</xdr:colOff>
      <xdr:row>11</xdr:row>
      <xdr:rowOff>1</xdr:rowOff>
    </xdr:to>
    <xdr:grpSp>
      <xdr:nvGrpSpPr>
        <xdr:cNvPr id="231" name="グループ化 230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GrpSpPr/>
      </xdr:nvGrpSpPr>
      <xdr:grpSpPr>
        <a:xfrm rot="5400000">
          <a:off x="1746194" y="3780405"/>
          <a:ext cx="475201" cy="479341"/>
          <a:chOff x="3637122" y="6385992"/>
          <a:chExt cx="475200" cy="475200"/>
        </a:xfrm>
      </xdr:grpSpPr>
      <xdr:sp macro="" textlink="">
        <xdr:nvSpPr>
          <xdr:cNvPr id="232" name="正方形/長方形 231">
            <a:extLst>
              <a:ext uri="{FF2B5EF4-FFF2-40B4-BE49-F238E27FC236}">
                <a16:creationId xmlns:a16="http://schemas.microsoft.com/office/drawing/2014/main" id="{00000000-0008-0000-0300-0000E8000000}"/>
              </a:ext>
            </a:extLst>
          </xdr:cNvPr>
          <xdr:cNvSpPr/>
        </xdr:nvSpPr>
        <xdr:spPr>
          <a:xfrm rot="5400000">
            <a:off x="3639781" y="6388651"/>
            <a:ext cx="475200" cy="469882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sp macro="" textlink="">
        <xdr:nvSpPr>
          <xdr:cNvPr id="233" name="フリーフォーム: 図形 232">
            <a:extLst>
              <a:ext uri="{FF2B5EF4-FFF2-40B4-BE49-F238E27FC236}">
                <a16:creationId xmlns:a16="http://schemas.microsoft.com/office/drawing/2014/main" id="{00000000-0008-0000-0300-0000E9000000}"/>
              </a:ext>
            </a:extLst>
          </xdr:cNvPr>
          <xdr:cNvSpPr/>
        </xdr:nvSpPr>
        <xdr:spPr>
          <a:xfrm rot="5400000">
            <a:off x="3640884" y="6394912"/>
            <a:ext cx="229688" cy="237213"/>
          </a:xfrm>
          <a:custGeom>
            <a:avLst/>
            <a:gdLst>
              <a:gd name="connsiteX0" fmla="*/ 0 w 249986"/>
              <a:gd name="connsiteY0" fmla="*/ 0 h 250658"/>
              <a:gd name="connsiteX1" fmla="*/ 115303 w 249986"/>
              <a:gd name="connsiteY1" fmla="*/ 15039 h 250658"/>
              <a:gd name="connsiteX2" fmla="*/ 200526 w 249986"/>
              <a:gd name="connsiteY2" fmla="*/ 75197 h 250658"/>
              <a:gd name="connsiteX3" fmla="*/ 245645 w 249986"/>
              <a:gd name="connsiteY3" fmla="*/ 195513 h 250658"/>
              <a:gd name="connsiteX4" fmla="*/ 245645 w 249986"/>
              <a:gd name="connsiteY4" fmla="*/ 250658 h 2506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9986" h="250658">
                <a:moveTo>
                  <a:pt x="0" y="0"/>
                </a:moveTo>
                <a:cubicBezTo>
                  <a:pt x="40941" y="1253"/>
                  <a:pt x="81882" y="2506"/>
                  <a:pt x="115303" y="15039"/>
                </a:cubicBezTo>
                <a:cubicBezTo>
                  <a:pt x="148724" y="27572"/>
                  <a:pt x="178802" y="45118"/>
                  <a:pt x="200526" y="75197"/>
                </a:cubicBezTo>
                <a:cubicBezTo>
                  <a:pt x="222250" y="105276"/>
                  <a:pt x="238125" y="166270"/>
                  <a:pt x="245645" y="195513"/>
                </a:cubicBezTo>
                <a:cubicBezTo>
                  <a:pt x="253165" y="224756"/>
                  <a:pt x="249405" y="237707"/>
                  <a:pt x="245645" y="250658"/>
                </a:cubicBezTo>
              </a:path>
            </a:pathLst>
          </a:cu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5</xdr:col>
      <xdr:colOff>0</xdr:colOff>
      <xdr:row>9</xdr:row>
      <xdr:rowOff>0</xdr:rowOff>
    </xdr:from>
    <xdr:to>
      <xdr:col>5</xdr:col>
      <xdr:colOff>479342</xdr:colOff>
      <xdr:row>9</xdr:row>
      <xdr:rowOff>479341</xdr:rowOff>
    </xdr:to>
    <xdr:grpSp>
      <xdr:nvGrpSpPr>
        <xdr:cNvPr id="234" name="グループ化 233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GrpSpPr/>
      </xdr:nvGrpSpPr>
      <xdr:grpSpPr>
        <a:xfrm>
          <a:off x="2219325" y="3305175"/>
          <a:ext cx="479342" cy="479341"/>
          <a:chOff x="3637122" y="6385992"/>
          <a:chExt cx="475200" cy="475200"/>
        </a:xfrm>
      </xdr:grpSpPr>
      <xdr:sp macro="" textlink="">
        <xdr:nvSpPr>
          <xdr:cNvPr id="235" name="正方形/長方形 234">
            <a:extLst>
              <a:ext uri="{FF2B5EF4-FFF2-40B4-BE49-F238E27FC236}">
                <a16:creationId xmlns:a16="http://schemas.microsoft.com/office/drawing/2014/main" id="{00000000-0008-0000-0300-0000EB000000}"/>
              </a:ext>
            </a:extLst>
          </xdr:cNvPr>
          <xdr:cNvSpPr/>
        </xdr:nvSpPr>
        <xdr:spPr>
          <a:xfrm rot="5400000">
            <a:off x="3639781" y="6388651"/>
            <a:ext cx="475200" cy="469882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sp macro="" textlink="">
        <xdr:nvSpPr>
          <xdr:cNvPr id="236" name="フリーフォーム: 図形 235">
            <a:extLst>
              <a:ext uri="{FF2B5EF4-FFF2-40B4-BE49-F238E27FC236}">
                <a16:creationId xmlns:a16="http://schemas.microsoft.com/office/drawing/2014/main" id="{00000000-0008-0000-0300-0000EC000000}"/>
              </a:ext>
            </a:extLst>
          </xdr:cNvPr>
          <xdr:cNvSpPr/>
        </xdr:nvSpPr>
        <xdr:spPr>
          <a:xfrm rot="5400000">
            <a:off x="3640884" y="6394912"/>
            <a:ext cx="229688" cy="237213"/>
          </a:xfrm>
          <a:custGeom>
            <a:avLst/>
            <a:gdLst>
              <a:gd name="connsiteX0" fmla="*/ 0 w 249986"/>
              <a:gd name="connsiteY0" fmla="*/ 0 h 250658"/>
              <a:gd name="connsiteX1" fmla="*/ 115303 w 249986"/>
              <a:gd name="connsiteY1" fmla="*/ 15039 h 250658"/>
              <a:gd name="connsiteX2" fmla="*/ 200526 w 249986"/>
              <a:gd name="connsiteY2" fmla="*/ 75197 h 250658"/>
              <a:gd name="connsiteX3" fmla="*/ 245645 w 249986"/>
              <a:gd name="connsiteY3" fmla="*/ 195513 h 250658"/>
              <a:gd name="connsiteX4" fmla="*/ 245645 w 249986"/>
              <a:gd name="connsiteY4" fmla="*/ 250658 h 2506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9986" h="250658">
                <a:moveTo>
                  <a:pt x="0" y="0"/>
                </a:moveTo>
                <a:cubicBezTo>
                  <a:pt x="40941" y="1253"/>
                  <a:pt x="81882" y="2506"/>
                  <a:pt x="115303" y="15039"/>
                </a:cubicBezTo>
                <a:cubicBezTo>
                  <a:pt x="148724" y="27572"/>
                  <a:pt x="178802" y="45118"/>
                  <a:pt x="200526" y="75197"/>
                </a:cubicBezTo>
                <a:cubicBezTo>
                  <a:pt x="222250" y="105276"/>
                  <a:pt x="238125" y="166270"/>
                  <a:pt x="245645" y="195513"/>
                </a:cubicBezTo>
                <a:cubicBezTo>
                  <a:pt x="253165" y="224756"/>
                  <a:pt x="249405" y="237707"/>
                  <a:pt x="245645" y="250658"/>
                </a:cubicBezTo>
              </a:path>
            </a:pathLst>
          </a:cu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3</xdr:col>
      <xdr:colOff>0</xdr:colOff>
      <xdr:row>8</xdr:row>
      <xdr:rowOff>1050</xdr:rowOff>
    </xdr:from>
    <xdr:to>
      <xdr:col>3</xdr:col>
      <xdr:colOff>479342</xdr:colOff>
      <xdr:row>9</xdr:row>
      <xdr:rowOff>0</xdr:rowOff>
    </xdr:to>
    <xdr:grpSp>
      <xdr:nvGrpSpPr>
        <xdr:cNvPr id="237" name="グループ化 236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GrpSpPr/>
      </xdr:nvGrpSpPr>
      <xdr:grpSpPr>
        <a:xfrm rot="-5400000">
          <a:off x="1268896" y="2827904"/>
          <a:ext cx="475200" cy="479342"/>
          <a:chOff x="3637122" y="6385992"/>
          <a:chExt cx="475200" cy="475200"/>
        </a:xfrm>
      </xdr:grpSpPr>
      <xdr:sp macro="" textlink="">
        <xdr:nvSpPr>
          <xdr:cNvPr id="238" name="正方形/長方形 237">
            <a:extLst>
              <a:ext uri="{FF2B5EF4-FFF2-40B4-BE49-F238E27FC236}">
                <a16:creationId xmlns:a16="http://schemas.microsoft.com/office/drawing/2014/main" id="{00000000-0008-0000-0300-0000EE000000}"/>
              </a:ext>
            </a:extLst>
          </xdr:cNvPr>
          <xdr:cNvSpPr/>
        </xdr:nvSpPr>
        <xdr:spPr>
          <a:xfrm rot="5400000">
            <a:off x="3639781" y="6388651"/>
            <a:ext cx="475200" cy="469882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sp macro="" textlink="">
        <xdr:nvSpPr>
          <xdr:cNvPr id="239" name="フリーフォーム: 図形 238">
            <a:extLst>
              <a:ext uri="{FF2B5EF4-FFF2-40B4-BE49-F238E27FC236}">
                <a16:creationId xmlns:a16="http://schemas.microsoft.com/office/drawing/2014/main" id="{00000000-0008-0000-0300-0000EF000000}"/>
              </a:ext>
            </a:extLst>
          </xdr:cNvPr>
          <xdr:cNvSpPr/>
        </xdr:nvSpPr>
        <xdr:spPr>
          <a:xfrm rot="5400000">
            <a:off x="3640884" y="6394912"/>
            <a:ext cx="229688" cy="237213"/>
          </a:xfrm>
          <a:custGeom>
            <a:avLst/>
            <a:gdLst>
              <a:gd name="connsiteX0" fmla="*/ 0 w 249986"/>
              <a:gd name="connsiteY0" fmla="*/ 0 h 250658"/>
              <a:gd name="connsiteX1" fmla="*/ 115303 w 249986"/>
              <a:gd name="connsiteY1" fmla="*/ 15039 h 250658"/>
              <a:gd name="connsiteX2" fmla="*/ 200526 w 249986"/>
              <a:gd name="connsiteY2" fmla="*/ 75197 h 250658"/>
              <a:gd name="connsiteX3" fmla="*/ 245645 w 249986"/>
              <a:gd name="connsiteY3" fmla="*/ 195513 h 250658"/>
              <a:gd name="connsiteX4" fmla="*/ 245645 w 249986"/>
              <a:gd name="connsiteY4" fmla="*/ 250658 h 2506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9986" h="250658">
                <a:moveTo>
                  <a:pt x="0" y="0"/>
                </a:moveTo>
                <a:cubicBezTo>
                  <a:pt x="40941" y="1253"/>
                  <a:pt x="81882" y="2506"/>
                  <a:pt x="115303" y="15039"/>
                </a:cubicBezTo>
                <a:cubicBezTo>
                  <a:pt x="148724" y="27572"/>
                  <a:pt x="178802" y="45118"/>
                  <a:pt x="200526" y="75197"/>
                </a:cubicBezTo>
                <a:cubicBezTo>
                  <a:pt x="222250" y="105276"/>
                  <a:pt x="238125" y="166270"/>
                  <a:pt x="245645" y="195513"/>
                </a:cubicBezTo>
                <a:cubicBezTo>
                  <a:pt x="253165" y="224756"/>
                  <a:pt x="249405" y="237707"/>
                  <a:pt x="245645" y="250658"/>
                </a:cubicBezTo>
              </a:path>
            </a:pathLst>
          </a:cu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2</xdr:col>
      <xdr:colOff>0</xdr:colOff>
      <xdr:row>8</xdr:row>
      <xdr:rowOff>1050</xdr:rowOff>
    </xdr:from>
    <xdr:to>
      <xdr:col>2</xdr:col>
      <xdr:colOff>479343</xdr:colOff>
      <xdr:row>9</xdr:row>
      <xdr:rowOff>0</xdr:rowOff>
    </xdr:to>
    <xdr:grpSp>
      <xdr:nvGrpSpPr>
        <xdr:cNvPr id="240" name="グループ化 239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GrpSpPr/>
      </xdr:nvGrpSpPr>
      <xdr:grpSpPr>
        <a:xfrm rot="10800000">
          <a:off x="790575" y="2829975"/>
          <a:ext cx="479343" cy="475200"/>
          <a:chOff x="3637122" y="6385992"/>
          <a:chExt cx="475200" cy="475200"/>
        </a:xfrm>
      </xdr:grpSpPr>
      <xdr:sp macro="" textlink="">
        <xdr:nvSpPr>
          <xdr:cNvPr id="241" name="正方形/長方形 240">
            <a:extLst>
              <a:ext uri="{FF2B5EF4-FFF2-40B4-BE49-F238E27FC236}">
                <a16:creationId xmlns:a16="http://schemas.microsoft.com/office/drawing/2014/main" id="{00000000-0008-0000-0300-0000F1000000}"/>
              </a:ext>
            </a:extLst>
          </xdr:cNvPr>
          <xdr:cNvSpPr/>
        </xdr:nvSpPr>
        <xdr:spPr>
          <a:xfrm rot="5400000">
            <a:off x="3639781" y="6388651"/>
            <a:ext cx="475200" cy="469882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sp macro="" textlink="">
        <xdr:nvSpPr>
          <xdr:cNvPr id="242" name="フリーフォーム: 図形 241">
            <a:extLst>
              <a:ext uri="{FF2B5EF4-FFF2-40B4-BE49-F238E27FC236}">
                <a16:creationId xmlns:a16="http://schemas.microsoft.com/office/drawing/2014/main" id="{00000000-0008-0000-0300-0000F2000000}"/>
              </a:ext>
            </a:extLst>
          </xdr:cNvPr>
          <xdr:cNvSpPr/>
        </xdr:nvSpPr>
        <xdr:spPr>
          <a:xfrm rot="5400000">
            <a:off x="3640884" y="6394912"/>
            <a:ext cx="229688" cy="237213"/>
          </a:xfrm>
          <a:custGeom>
            <a:avLst/>
            <a:gdLst>
              <a:gd name="connsiteX0" fmla="*/ 0 w 249986"/>
              <a:gd name="connsiteY0" fmla="*/ 0 h 250658"/>
              <a:gd name="connsiteX1" fmla="*/ 115303 w 249986"/>
              <a:gd name="connsiteY1" fmla="*/ 15039 h 250658"/>
              <a:gd name="connsiteX2" fmla="*/ 200526 w 249986"/>
              <a:gd name="connsiteY2" fmla="*/ 75197 h 250658"/>
              <a:gd name="connsiteX3" fmla="*/ 245645 w 249986"/>
              <a:gd name="connsiteY3" fmla="*/ 195513 h 250658"/>
              <a:gd name="connsiteX4" fmla="*/ 245645 w 249986"/>
              <a:gd name="connsiteY4" fmla="*/ 250658 h 2506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49986" h="250658">
                <a:moveTo>
                  <a:pt x="0" y="0"/>
                </a:moveTo>
                <a:cubicBezTo>
                  <a:pt x="40941" y="1253"/>
                  <a:pt x="81882" y="2506"/>
                  <a:pt x="115303" y="15039"/>
                </a:cubicBezTo>
                <a:cubicBezTo>
                  <a:pt x="148724" y="27572"/>
                  <a:pt x="178802" y="45118"/>
                  <a:pt x="200526" y="75197"/>
                </a:cubicBezTo>
                <a:cubicBezTo>
                  <a:pt x="222250" y="105276"/>
                  <a:pt x="238125" y="166270"/>
                  <a:pt x="245645" y="195513"/>
                </a:cubicBezTo>
                <a:cubicBezTo>
                  <a:pt x="253165" y="224756"/>
                  <a:pt x="249405" y="237707"/>
                  <a:pt x="245645" y="250658"/>
                </a:cubicBezTo>
              </a:path>
            </a:pathLst>
          </a:cu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5</xdr:col>
      <xdr:colOff>1051</xdr:colOff>
      <xdr:row>13</xdr:row>
      <xdr:rowOff>0</xdr:rowOff>
    </xdr:from>
    <xdr:to>
      <xdr:col>6</xdr:col>
      <xdr:colOff>0</xdr:colOff>
      <xdr:row>13</xdr:row>
      <xdr:rowOff>475200</xdr:rowOff>
    </xdr:to>
    <xdr:grpSp>
      <xdr:nvGrpSpPr>
        <xdr:cNvPr id="251" name="グループ化 250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GrpSpPr/>
      </xdr:nvGrpSpPr>
      <xdr:grpSpPr>
        <a:xfrm>
          <a:off x="2220376" y="5210175"/>
          <a:ext cx="475199" cy="475200"/>
          <a:chOff x="2219285" y="5430191"/>
          <a:chExt cx="475200" cy="475200"/>
        </a:xfrm>
      </xdr:grpSpPr>
      <xdr:grpSp>
        <xdr:nvGrpSpPr>
          <xdr:cNvPr id="186" name="グループ化 185">
            <a:extLst>
              <a:ext uri="{FF2B5EF4-FFF2-40B4-BE49-F238E27FC236}">
                <a16:creationId xmlns:a16="http://schemas.microsoft.com/office/drawing/2014/main" id="{00000000-0008-0000-0300-0000BA000000}"/>
              </a:ext>
            </a:extLst>
          </xdr:cNvPr>
          <xdr:cNvGrpSpPr/>
        </xdr:nvGrpSpPr>
        <xdr:grpSpPr>
          <a:xfrm>
            <a:off x="2219285" y="5430191"/>
            <a:ext cx="475200" cy="475200"/>
            <a:chOff x="2230082" y="5430191"/>
            <a:chExt cx="468000" cy="468000"/>
          </a:xfrm>
        </xdr:grpSpPr>
        <xdr:sp macro="" textlink="">
          <xdr:nvSpPr>
            <xdr:cNvPr id="111" name="正方形/長方形 110">
              <a:extLst>
                <a:ext uri="{FF2B5EF4-FFF2-40B4-BE49-F238E27FC236}">
                  <a16:creationId xmlns:a16="http://schemas.microsoft.com/office/drawing/2014/main" id="{00000000-0008-0000-0300-00006F000000}"/>
                </a:ext>
              </a:extLst>
            </xdr:cNvPr>
            <xdr:cNvSpPr/>
          </xdr:nvSpPr>
          <xdr:spPr>
            <a:xfrm>
              <a:off x="2230082" y="5430191"/>
              <a:ext cx="468000" cy="468000"/>
            </a:xfrm>
            <a:prstGeom prst="rect">
              <a:avLst/>
            </a:prstGeom>
            <a:ln w="635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endParaRPr lang="ja-JP" altLang="en-US"/>
            </a:p>
          </xdr:txBody>
        </xdr:sp>
        <xdr:cxnSp macro="">
          <xdr:nvCxnSpPr>
            <xdr:cNvPr id="112" name="直線コネクタ 111">
              <a:extLst>
                <a:ext uri="{FF2B5EF4-FFF2-40B4-BE49-F238E27FC236}">
                  <a16:creationId xmlns:a16="http://schemas.microsoft.com/office/drawing/2014/main" id="{00000000-0008-0000-0300-000070000000}"/>
                </a:ext>
              </a:extLst>
            </xdr:cNvPr>
            <xdr:cNvCxnSpPr>
              <a:stCxn id="111" idx="3"/>
              <a:endCxn id="111" idx="1"/>
            </xdr:cNvCxnSpPr>
          </xdr:nvCxnSpPr>
          <xdr:spPr>
            <a:xfrm flipH="1">
              <a:off x="2230082" y="5664191"/>
              <a:ext cx="468000" cy="0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250" name="正方形/長方形 249">
            <a:extLst>
              <a:ext uri="{FF2B5EF4-FFF2-40B4-BE49-F238E27FC236}">
                <a16:creationId xmlns:a16="http://schemas.microsoft.com/office/drawing/2014/main" id="{00000000-0008-0000-0300-0000FA000000}"/>
              </a:ext>
            </a:extLst>
          </xdr:cNvPr>
          <xdr:cNvSpPr/>
        </xdr:nvSpPr>
        <xdr:spPr>
          <a:xfrm>
            <a:off x="2329574" y="5500795"/>
            <a:ext cx="249503" cy="29480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</xdr:grpSp>
    <xdr:clientData fLocksWithSheet="0"/>
  </xdr:twoCellAnchor>
  <xdr:twoCellAnchor editAs="oneCell">
    <xdr:from>
      <xdr:col>9</xdr:col>
      <xdr:colOff>247073</xdr:colOff>
      <xdr:row>25</xdr:row>
      <xdr:rowOff>175846</xdr:rowOff>
    </xdr:from>
    <xdr:to>
      <xdr:col>10</xdr:col>
      <xdr:colOff>21980</xdr:colOff>
      <xdr:row>26</xdr:row>
      <xdr:rowOff>182626</xdr:rowOff>
    </xdr:to>
    <xdr:sp macro="" textlink="">
      <xdr:nvSpPr>
        <xdr:cNvPr id="254" name="直方体 253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SpPr/>
      </xdr:nvSpPr>
      <xdr:spPr>
        <a:xfrm rot="5400000" flipH="1">
          <a:off x="4351445" y="9912032"/>
          <a:ext cx="292530" cy="251157"/>
        </a:xfrm>
        <a:prstGeom prst="cube">
          <a:avLst/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6</xdr:col>
      <xdr:colOff>285328</xdr:colOff>
      <xdr:row>14</xdr:row>
      <xdr:rowOff>98729</xdr:rowOff>
    </xdr:from>
    <xdr:to>
      <xdr:col>6</xdr:col>
      <xdr:colOff>333937</xdr:colOff>
      <xdr:row>14</xdr:row>
      <xdr:rowOff>456821</xdr:rowOff>
    </xdr:to>
    <xdr:sp macro="" textlink="">
      <xdr:nvSpPr>
        <xdr:cNvPr id="255" name="直方体 254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SpPr/>
      </xdr:nvSpPr>
      <xdr:spPr>
        <a:xfrm rot="19246139" flipH="1">
          <a:off x="3002024" y="5871707"/>
          <a:ext cx="48609" cy="358092"/>
        </a:xfrm>
        <a:prstGeom prst="cube">
          <a:avLst/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 fLocksWithSheet="0"/>
  </xdr:twoCellAnchor>
  <xdr:twoCellAnchor editAs="oneCell">
    <xdr:from>
      <xdr:col>6</xdr:col>
      <xdr:colOff>255064</xdr:colOff>
      <xdr:row>12</xdr:row>
      <xdr:rowOff>96817</xdr:rowOff>
    </xdr:from>
    <xdr:to>
      <xdr:col>6</xdr:col>
      <xdr:colOff>303673</xdr:colOff>
      <xdr:row>12</xdr:row>
      <xdr:rowOff>454909</xdr:rowOff>
    </xdr:to>
    <xdr:sp macro="" textlink="">
      <xdr:nvSpPr>
        <xdr:cNvPr id="256" name="直方体 255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SpPr/>
      </xdr:nvSpPr>
      <xdr:spPr>
        <a:xfrm rot="19246139" flipH="1">
          <a:off x="2971760" y="4909013"/>
          <a:ext cx="48609" cy="358092"/>
        </a:xfrm>
        <a:prstGeom prst="cube">
          <a:avLst/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3</xdr:col>
      <xdr:colOff>49035</xdr:colOff>
      <xdr:row>10</xdr:row>
      <xdr:rowOff>214924</xdr:rowOff>
    </xdr:from>
    <xdr:to>
      <xdr:col>3</xdr:col>
      <xdr:colOff>407127</xdr:colOff>
      <xdr:row>10</xdr:row>
      <xdr:rowOff>263533</xdr:rowOff>
    </xdr:to>
    <xdr:sp macro="" textlink="">
      <xdr:nvSpPr>
        <xdr:cNvPr id="257" name="直方体 256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SpPr/>
      </xdr:nvSpPr>
      <xdr:spPr>
        <a:xfrm rot="16200000" flipH="1">
          <a:off x="1479298" y="3911596"/>
          <a:ext cx="48609" cy="358092"/>
        </a:xfrm>
        <a:prstGeom prst="cube">
          <a:avLst/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4</xdr:col>
      <xdr:colOff>99578</xdr:colOff>
      <xdr:row>11</xdr:row>
      <xdr:rowOff>57661</xdr:rowOff>
    </xdr:from>
    <xdr:to>
      <xdr:col>4</xdr:col>
      <xdr:colOff>350735</xdr:colOff>
      <xdr:row>11</xdr:row>
      <xdr:rowOff>350191</xdr:rowOff>
    </xdr:to>
    <xdr:sp macro="" textlink="">
      <xdr:nvSpPr>
        <xdr:cNvPr id="258" name="直方体 257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SpPr/>
      </xdr:nvSpPr>
      <xdr:spPr>
        <a:xfrm rot="5400000" flipH="1">
          <a:off x="1834805" y="4410151"/>
          <a:ext cx="292530" cy="251157"/>
        </a:xfrm>
        <a:prstGeom prst="cube">
          <a:avLst/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2</xdr:col>
      <xdr:colOff>94294</xdr:colOff>
      <xdr:row>12</xdr:row>
      <xdr:rowOff>94293</xdr:rowOff>
    </xdr:from>
    <xdr:to>
      <xdr:col>2</xdr:col>
      <xdr:colOff>394698</xdr:colOff>
      <xdr:row>12</xdr:row>
      <xdr:rowOff>402024</xdr:rowOff>
    </xdr:to>
    <xdr:sp macro="" textlink="">
      <xdr:nvSpPr>
        <xdr:cNvPr id="260" name="矢印: 折線 259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SpPr/>
      </xdr:nvSpPr>
      <xdr:spPr>
        <a:xfrm rot="10800000" flipV="1">
          <a:off x="889424" y="4906489"/>
          <a:ext cx="300404" cy="307731"/>
        </a:xfrm>
        <a:prstGeom prst="ben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2</xdr:col>
      <xdr:colOff>108948</xdr:colOff>
      <xdr:row>10</xdr:row>
      <xdr:rowOff>86965</xdr:rowOff>
    </xdr:from>
    <xdr:to>
      <xdr:col>2</xdr:col>
      <xdr:colOff>409352</xdr:colOff>
      <xdr:row>10</xdr:row>
      <xdr:rowOff>387369</xdr:rowOff>
    </xdr:to>
    <xdr:sp macro="" textlink="">
      <xdr:nvSpPr>
        <xdr:cNvPr id="261" name="矢印: 折線 260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SpPr/>
      </xdr:nvSpPr>
      <xdr:spPr>
        <a:xfrm>
          <a:off x="904078" y="3938378"/>
          <a:ext cx="300404" cy="300404"/>
        </a:xfrm>
        <a:prstGeom prst="bentArrow">
          <a:avLst>
            <a:gd name="adj1" fmla="val 27439"/>
            <a:gd name="adj2" fmla="val 25000"/>
            <a:gd name="adj3" fmla="val 25000"/>
            <a:gd name="adj4" fmla="val 43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8</xdr:col>
      <xdr:colOff>345411</xdr:colOff>
      <xdr:row>24</xdr:row>
      <xdr:rowOff>277376</xdr:rowOff>
    </xdr:from>
    <xdr:to>
      <xdr:col>8</xdr:col>
      <xdr:colOff>417411</xdr:colOff>
      <xdr:row>25</xdr:row>
      <xdr:rowOff>62174</xdr:rowOff>
    </xdr:to>
    <xdr:sp macro="" textlink="">
      <xdr:nvSpPr>
        <xdr:cNvPr id="262" name="正方形/長方形 261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SpPr/>
      </xdr:nvSpPr>
      <xdr:spPr>
        <a:xfrm>
          <a:off x="4013897" y="9769719"/>
          <a:ext cx="72000" cy="73269"/>
        </a:xfrm>
        <a:prstGeom prst="rect">
          <a:avLst/>
        </a:prstGeom>
        <a:solidFill>
          <a:schemeClr val="accent6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7</xdr:col>
      <xdr:colOff>479341</xdr:colOff>
      <xdr:row>11</xdr:row>
      <xdr:rowOff>479342</xdr:rowOff>
    </xdr:to>
    <xdr:grpSp>
      <xdr:nvGrpSpPr>
        <xdr:cNvPr id="265" name="グループ化 264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GrpSpPr/>
      </xdr:nvGrpSpPr>
      <xdr:grpSpPr>
        <a:xfrm>
          <a:off x="3171825" y="4257675"/>
          <a:ext cx="479341" cy="479342"/>
          <a:chOff x="3185865" y="4503745"/>
          <a:chExt cx="477921" cy="477922"/>
        </a:xfrm>
      </xdr:grpSpPr>
      <xdr:grpSp>
        <xdr:nvGrpSpPr>
          <xdr:cNvPr id="185" name="グループ化 184">
            <a:extLst>
              <a:ext uri="{FF2B5EF4-FFF2-40B4-BE49-F238E27FC236}">
                <a16:creationId xmlns:a16="http://schemas.microsoft.com/office/drawing/2014/main" id="{00000000-0008-0000-0300-0000B9000000}"/>
              </a:ext>
            </a:extLst>
          </xdr:cNvPr>
          <xdr:cNvGrpSpPr/>
        </xdr:nvGrpSpPr>
        <xdr:grpSpPr>
          <a:xfrm>
            <a:off x="3185865" y="4503745"/>
            <a:ext cx="477921" cy="477922"/>
            <a:chOff x="3182427" y="4481544"/>
            <a:chExt cx="468000" cy="468522"/>
          </a:xfrm>
        </xdr:grpSpPr>
        <xdr:sp macro="" textlink="">
          <xdr:nvSpPr>
            <xdr:cNvPr id="101" name="正方形/長方形 100">
              <a:extLst>
                <a:ext uri="{FF2B5EF4-FFF2-40B4-BE49-F238E27FC236}">
                  <a16:creationId xmlns:a16="http://schemas.microsoft.com/office/drawing/2014/main" id="{00000000-0008-0000-0300-000065000000}"/>
                </a:ext>
              </a:extLst>
            </xdr:cNvPr>
            <xdr:cNvSpPr/>
          </xdr:nvSpPr>
          <xdr:spPr>
            <a:xfrm>
              <a:off x="3182427" y="4481544"/>
              <a:ext cx="468000" cy="468522"/>
            </a:xfrm>
            <a:prstGeom prst="rect">
              <a:avLst/>
            </a:prstGeom>
            <a:ln w="635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endParaRPr lang="ja-JP" altLang="en-US"/>
            </a:p>
          </xdr:txBody>
        </xdr:sp>
        <xdr:cxnSp macro="">
          <xdr:nvCxnSpPr>
            <xdr:cNvPr id="102" name="直線コネクタ 101">
              <a:extLst>
                <a:ext uri="{FF2B5EF4-FFF2-40B4-BE49-F238E27FC236}">
                  <a16:creationId xmlns:a16="http://schemas.microsoft.com/office/drawing/2014/main" id="{00000000-0008-0000-0300-000066000000}"/>
                </a:ext>
              </a:extLst>
            </xdr:cNvPr>
            <xdr:cNvCxnSpPr>
              <a:stCxn id="101" idx="0"/>
              <a:endCxn id="101" idx="2"/>
            </xdr:cNvCxnSpPr>
          </xdr:nvCxnSpPr>
          <xdr:spPr>
            <a:xfrm>
              <a:off x="3416427" y="4481544"/>
              <a:ext cx="0" cy="468522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03" name="直線コネクタ 102">
              <a:extLst>
                <a:ext uri="{FF2B5EF4-FFF2-40B4-BE49-F238E27FC236}">
                  <a16:creationId xmlns:a16="http://schemas.microsoft.com/office/drawing/2014/main" id="{00000000-0008-0000-0300-000067000000}"/>
                </a:ext>
              </a:extLst>
            </xdr:cNvPr>
            <xdr:cNvCxnSpPr>
              <a:stCxn id="101" idx="1"/>
              <a:endCxn id="101" idx="3"/>
            </xdr:cNvCxnSpPr>
          </xdr:nvCxnSpPr>
          <xdr:spPr>
            <a:xfrm>
              <a:off x="3182427" y="4715805"/>
              <a:ext cx="468000" cy="0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263" name="正方形/長方形 262">
            <a:extLst>
              <a:ext uri="{FF2B5EF4-FFF2-40B4-BE49-F238E27FC236}">
                <a16:creationId xmlns:a16="http://schemas.microsoft.com/office/drawing/2014/main" id="{00000000-0008-0000-0300-000007010000}"/>
              </a:ext>
            </a:extLst>
          </xdr:cNvPr>
          <xdr:cNvSpPr/>
        </xdr:nvSpPr>
        <xdr:spPr>
          <a:xfrm>
            <a:off x="3328097" y="4767733"/>
            <a:ext cx="72000" cy="73269"/>
          </a:xfrm>
          <a:prstGeom prst="rect">
            <a:avLst/>
          </a:prstGeom>
          <a:solidFill>
            <a:schemeClr val="accent6"/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64" name="正方形/長方形 263">
            <a:extLst>
              <a:ext uri="{FF2B5EF4-FFF2-40B4-BE49-F238E27FC236}">
                <a16:creationId xmlns:a16="http://schemas.microsoft.com/office/drawing/2014/main" id="{00000000-0008-0000-0300-000008010000}"/>
              </a:ext>
            </a:extLst>
          </xdr:cNvPr>
          <xdr:cNvSpPr/>
        </xdr:nvSpPr>
        <xdr:spPr>
          <a:xfrm>
            <a:off x="3453282" y="4767733"/>
            <a:ext cx="72000" cy="73269"/>
          </a:xfrm>
          <a:prstGeom prst="rect">
            <a:avLst/>
          </a:prstGeom>
          <a:solidFill>
            <a:schemeClr val="accent6"/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7</xdr:col>
      <xdr:colOff>2905</xdr:colOff>
      <xdr:row>11</xdr:row>
      <xdr:rowOff>476032</xdr:rowOff>
    </xdr:from>
    <xdr:to>
      <xdr:col>8</xdr:col>
      <xdr:colOff>1855</xdr:colOff>
      <xdr:row>12</xdr:row>
      <xdr:rowOff>474981</xdr:rowOff>
    </xdr:to>
    <xdr:grpSp>
      <xdr:nvGrpSpPr>
        <xdr:cNvPr id="267" name="グループ化 266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GrpSpPr/>
      </xdr:nvGrpSpPr>
      <xdr:grpSpPr>
        <a:xfrm>
          <a:off x="3174730" y="4733707"/>
          <a:ext cx="475200" cy="475199"/>
          <a:chOff x="3192419" y="4982717"/>
          <a:chExt cx="477922" cy="477921"/>
        </a:xfrm>
      </xdr:grpSpPr>
      <xdr:grpSp>
        <xdr:nvGrpSpPr>
          <xdr:cNvPr id="184" name="グループ化 183">
            <a:extLst>
              <a:ext uri="{FF2B5EF4-FFF2-40B4-BE49-F238E27FC236}">
                <a16:creationId xmlns:a16="http://schemas.microsoft.com/office/drawing/2014/main" id="{00000000-0008-0000-0300-0000B8000000}"/>
              </a:ext>
            </a:extLst>
          </xdr:cNvPr>
          <xdr:cNvGrpSpPr/>
        </xdr:nvGrpSpPr>
        <xdr:grpSpPr>
          <a:xfrm>
            <a:off x="3192419" y="4982717"/>
            <a:ext cx="477922" cy="477921"/>
            <a:chOff x="3181247" y="4952781"/>
            <a:chExt cx="468000" cy="468522"/>
          </a:xfrm>
        </xdr:grpSpPr>
        <xdr:sp macro="" textlink="">
          <xdr:nvSpPr>
            <xdr:cNvPr id="97" name="正方形/長方形 96">
              <a:extLst>
                <a:ext uri="{FF2B5EF4-FFF2-40B4-BE49-F238E27FC236}">
                  <a16:creationId xmlns:a16="http://schemas.microsoft.com/office/drawing/2014/main" id="{00000000-0008-0000-0300-000061000000}"/>
                </a:ext>
              </a:extLst>
            </xdr:cNvPr>
            <xdr:cNvSpPr/>
          </xdr:nvSpPr>
          <xdr:spPr>
            <a:xfrm>
              <a:off x="3181247" y="4952781"/>
              <a:ext cx="468000" cy="468522"/>
            </a:xfrm>
            <a:prstGeom prst="rect">
              <a:avLst/>
            </a:prstGeom>
            <a:ln w="635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endParaRPr lang="ja-JP" altLang="en-US"/>
            </a:p>
          </xdr:txBody>
        </xdr:sp>
        <xdr:cxnSp macro="">
          <xdr:nvCxnSpPr>
            <xdr:cNvPr id="98" name="直線コネクタ 97">
              <a:extLst>
                <a:ext uri="{FF2B5EF4-FFF2-40B4-BE49-F238E27FC236}">
                  <a16:creationId xmlns:a16="http://schemas.microsoft.com/office/drawing/2014/main" id="{00000000-0008-0000-0300-000062000000}"/>
                </a:ext>
              </a:extLst>
            </xdr:cNvPr>
            <xdr:cNvCxnSpPr>
              <a:stCxn id="97" idx="0"/>
              <a:endCxn id="97" idx="2"/>
            </xdr:cNvCxnSpPr>
          </xdr:nvCxnSpPr>
          <xdr:spPr>
            <a:xfrm>
              <a:off x="3415247" y="4952781"/>
              <a:ext cx="0" cy="468522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9" name="直線コネクタ 98">
              <a:extLst>
                <a:ext uri="{FF2B5EF4-FFF2-40B4-BE49-F238E27FC236}">
                  <a16:creationId xmlns:a16="http://schemas.microsoft.com/office/drawing/2014/main" id="{00000000-0008-0000-0300-000063000000}"/>
                </a:ext>
              </a:extLst>
            </xdr:cNvPr>
            <xdr:cNvCxnSpPr>
              <a:stCxn id="97" idx="1"/>
              <a:endCxn id="97" idx="3"/>
            </xdr:cNvCxnSpPr>
          </xdr:nvCxnSpPr>
          <xdr:spPr>
            <a:xfrm>
              <a:off x="3181247" y="5187042"/>
              <a:ext cx="468000" cy="0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266" name="正方形/長方形 265">
            <a:extLst>
              <a:ext uri="{FF2B5EF4-FFF2-40B4-BE49-F238E27FC236}">
                <a16:creationId xmlns:a16="http://schemas.microsoft.com/office/drawing/2014/main" id="{00000000-0008-0000-0300-00000A010000}"/>
              </a:ext>
            </a:extLst>
          </xdr:cNvPr>
          <xdr:cNvSpPr/>
        </xdr:nvSpPr>
        <xdr:spPr>
          <a:xfrm>
            <a:off x="3333540" y="5126962"/>
            <a:ext cx="72000" cy="73269"/>
          </a:xfrm>
          <a:prstGeom prst="rect">
            <a:avLst/>
          </a:prstGeom>
          <a:solidFill>
            <a:schemeClr val="accent6"/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7</xdr:col>
      <xdr:colOff>0</xdr:colOff>
      <xdr:row>14</xdr:row>
      <xdr:rowOff>1051</xdr:rowOff>
    </xdr:from>
    <xdr:to>
      <xdr:col>7</xdr:col>
      <xdr:colOff>479341</xdr:colOff>
      <xdr:row>15</xdr:row>
      <xdr:rowOff>0</xdr:rowOff>
    </xdr:to>
    <xdr:grpSp>
      <xdr:nvGrpSpPr>
        <xdr:cNvPr id="269" name="グループ化 268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GrpSpPr/>
      </xdr:nvGrpSpPr>
      <xdr:grpSpPr>
        <a:xfrm>
          <a:off x="3171825" y="5687476"/>
          <a:ext cx="479341" cy="475199"/>
          <a:chOff x="3186105" y="5947365"/>
          <a:chExt cx="477921" cy="477921"/>
        </a:xfrm>
      </xdr:grpSpPr>
      <xdr:grpSp>
        <xdr:nvGrpSpPr>
          <xdr:cNvPr id="182" name="グループ化 181">
            <a:extLst>
              <a:ext uri="{FF2B5EF4-FFF2-40B4-BE49-F238E27FC236}">
                <a16:creationId xmlns:a16="http://schemas.microsoft.com/office/drawing/2014/main" id="{00000000-0008-0000-0300-0000B6000000}"/>
              </a:ext>
            </a:extLst>
          </xdr:cNvPr>
          <xdr:cNvGrpSpPr/>
        </xdr:nvGrpSpPr>
        <xdr:grpSpPr>
          <a:xfrm>
            <a:off x="3186105" y="5947365"/>
            <a:ext cx="477921" cy="477921"/>
            <a:chOff x="3187681" y="5909265"/>
            <a:chExt cx="468523" cy="468406"/>
          </a:xfrm>
        </xdr:grpSpPr>
        <xdr:sp macro="" textlink="">
          <xdr:nvSpPr>
            <xdr:cNvPr id="70" name="正方形/長方形 69">
              <a:extLst>
                <a:ext uri="{FF2B5EF4-FFF2-40B4-BE49-F238E27FC236}">
                  <a16:creationId xmlns:a16="http://schemas.microsoft.com/office/drawing/2014/main" id="{00000000-0008-0000-0300-000046000000}"/>
                </a:ext>
              </a:extLst>
            </xdr:cNvPr>
            <xdr:cNvSpPr/>
          </xdr:nvSpPr>
          <xdr:spPr>
            <a:xfrm>
              <a:off x="3187681" y="5909265"/>
              <a:ext cx="468523" cy="468406"/>
            </a:xfrm>
            <a:prstGeom prst="rect">
              <a:avLst/>
            </a:prstGeom>
            <a:ln w="635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endParaRPr lang="ja-JP" altLang="en-US"/>
            </a:p>
          </xdr:txBody>
        </xdr:sp>
        <xdr:cxnSp macro="">
          <xdr:nvCxnSpPr>
            <xdr:cNvPr id="71" name="直線コネクタ 70">
              <a:extLst>
                <a:ext uri="{FF2B5EF4-FFF2-40B4-BE49-F238E27FC236}">
                  <a16:creationId xmlns:a16="http://schemas.microsoft.com/office/drawing/2014/main" id="{00000000-0008-0000-0300-000047000000}"/>
                </a:ext>
              </a:extLst>
            </xdr:cNvPr>
            <xdr:cNvCxnSpPr>
              <a:stCxn id="70" idx="0"/>
              <a:endCxn id="70" idx="2"/>
            </xdr:cNvCxnSpPr>
          </xdr:nvCxnSpPr>
          <xdr:spPr>
            <a:xfrm>
              <a:off x="3421943" y="5909265"/>
              <a:ext cx="0" cy="468406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72" name="直線コネクタ 71">
              <a:extLst>
                <a:ext uri="{FF2B5EF4-FFF2-40B4-BE49-F238E27FC236}">
                  <a16:creationId xmlns:a16="http://schemas.microsoft.com/office/drawing/2014/main" id="{00000000-0008-0000-0300-000048000000}"/>
                </a:ext>
              </a:extLst>
            </xdr:cNvPr>
            <xdr:cNvCxnSpPr>
              <a:stCxn id="70" idx="1"/>
            </xdr:cNvCxnSpPr>
          </xdr:nvCxnSpPr>
          <xdr:spPr>
            <a:xfrm>
              <a:off x="3187681" y="6143468"/>
              <a:ext cx="245650" cy="836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268" name="正方形/長方形 267">
            <a:extLst>
              <a:ext uri="{FF2B5EF4-FFF2-40B4-BE49-F238E27FC236}">
                <a16:creationId xmlns:a16="http://schemas.microsoft.com/office/drawing/2014/main" id="{00000000-0008-0000-0300-00000C010000}"/>
              </a:ext>
            </a:extLst>
          </xdr:cNvPr>
          <xdr:cNvSpPr/>
        </xdr:nvSpPr>
        <xdr:spPr>
          <a:xfrm>
            <a:off x="3333540" y="6095791"/>
            <a:ext cx="72000" cy="73269"/>
          </a:xfrm>
          <a:prstGeom prst="rect">
            <a:avLst/>
          </a:prstGeom>
          <a:solidFill>
            <a:schemeClr val="accent6"/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 fLocksWithSheet="0"/>
  </xdr:twoCellAnchor>
  <xdr:twoCellAnchor>
    <xdr:from>
      <xdr:col>4</xdr:col>
      <xdr:colOff>0</xdr:colOff>
      <xdr:row>13</xdr:row>
      <xdr:rowOff>0</xdr:rowOff>
    </xdr:from>
    <xdr:to>
      <xdr:col>4</xdr:col>
      <xdr:colOff>479341</xdr:colOff>
      <xdr:row>13</xdr:row>
      <xdr:rowOff>479341</xdr:rowOff>
    </xdr:to>
    <xdr:grpSp>
      <xdr:nvGrpSpPr>
        <xdr:cNvPr id="271" name="グループ化 270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GrpSpPr/>
      </xdr:nvGrpSpPr>
      <xdr:grpSpPr>
        <a:xfrm>
          <a:off x="1743075" y="5210175"/>
          <a:ext cx="479341" cy="479341"/>
          <a:chOff x="1749249" y="5461419"/>
          <a:chExt cx="477921" cy="477922"/>
        </a:xfrm>
      </xdr:grpSpPr>
      <xdr:grpSp>
        <xdr:nvGrpSpPr>
          <xdr:cNvPr id="187" name="グループ化 186">
            <a:extLst>
              <a:ext uri="{FF2B5EF4-FFF2-40B4-BE49-F238E27FC236}">
                <a16:creationId xmlns:a16="http://schemas.microsoft.com/office/drawing/2014/main" id="{00000000-0008-0000-0300-0000BB000000}"/>
              </a:ext>
            </a:extLst>
          </xdr:cNvPr>
          <xdr:cNvGrpSpPr/>
        </xdr:nvGrpSpPr>
        <xdr:grpSpPr>
          <a:xfrm>
            <a:off x="1749249" y="5461419"/>
            <a:ext cx="477921" cy="477922"/>
            <a:chOff x="1748962" y="5433775"/>
            <a:chExt cx="468406" cy="468000"/>
          </a:xfrm>
        </xdr:grpSpPr>
        <xdr:sp macro="" textlink="">
          <xdr:nvSpPr>
            <xdr:cNvPr id="118" name="正方形/長方形 117">
              <a:extLst>
                <a:ext uri="{FF2B5EF4-FFF2-40B4-BE49-F238E27FC236}">
                  <a16:creationId xmlns:a16="http://schemas.microsoft.com/office/drawing/2014/main" id="{00000000-0008-0000-0300-000076000000}"/>
                </a:ext>
              </a:extLst>
            </xdr:cNvPr>
            <xdr:cNvSpPr/>
          </xdr:nvSpPr>
          <xdr:spPr>
            <a:xfrm rot="16200000">
              <a:off x="1749165" y="5433572"/>
              <a:ext cx="468000" cy="468406"/>
            </a:xfrm>
            <a:prstGeom prst="rect">
              <a:avLst/>
            </a:prstGeom>
            <a:ln w="635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endParaRPr lang="ja-JP" altLang="en-US"/>
            </a:p>
          </xdr:txBody>
        </xdr:sp>
        <xdr:cxnSp macro="">
          <xdr:nvCxnSpPr>
            <xdr:cNvPr id="119" name="直線コネクタ 118">
              <a:extLst>
                <a:ext uri="{FF2B5EF4-FFF2-40B4-BE49-F238E27FC236}">
                  <a16:creationId xmlns:a16="http://schemas.microsoft.com/office/drawing/2014/main" id="{00000000-0008-0000-0300-000077000000}"/>
                </a:ext>
              </a:extLst>
            </xdr:cNvPr>
            <xdr:cNvCxnSpPr>
              <a:stCxn id="118" idx="0"/>
              <a:endCxn id="118" idx="2"/>
            </xdr:cNvCxnSpPr>
          </xdr:nvCxnSpPr>
          <xdr:spPr>
            <a:xfrm rot="16200000">
              <a:off x="1983165" y="5433572"/>
              <a:ext cx="0" cy="468406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20" name="直線コネクタ 119">
              <a:extLst>
                <a:ext uri="{FF2B5EF4-FFF2-40B4-BE49-F238E27FC236}">
                  <a16:creationId xmlns:a16="http://schemas.microsoft.com/office/drawing/2014/main" id="{00000000-0008-0000-0300-000078000000}"/>
                </a:ext>
              </a:extLst>
            </xdr:cNvPr>
            <xdr:cNvCxnSpPr>
              <a:stCxn id="118" idx="1"/>
            </xdr:cNvCxnSpPr>
          </xdr:nvCxnSpPr>
          <xdr:spPr>
            <a:xfrm rot="16200000">
              <a:off x="1860895" y="5778669"/>
              <a:ext cx="245376" cy="836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270" name="正方形/長方形 269">
            <a:extLst>
              <a:ext uri="{FF2B5EF4-FFF2-40B4-BE49-F238E27FC236}">
                <a16:creationId xmlns:a16="http://schemas.microsoft.com/office/drawing/2014/main" id="{00000000-0008-0000-0300-00000E010000}"/>
              </a:ext>
            </a:extLst>
          </xdr:cNvPr>
          <xdr:cNvSpPr/>
        </xdr:nvSpPr>
        <xdr:spPr>
          <a:xfrm>
            <a:off x="1891183" y="5731119"/>
            <a:ext cx="72000" cy="73269"/>
          </a:xfrm>
          <a:prstGeom prst="rect">
            <a:avLst/>
          </a:prstGeom>
          <a:solidFill>
            <a:schemeClr val="accent6"/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 fLocksWithSheet="0"/>
  </xdr:twoCellAnchor>
  <xdr:twoCellAnchor>
    <xdr:from>
      <xdr:col>4</xdr:col>
      <xdr:colOff>0</xdr:colOff>
      <xdr:row>9</xdr:row>
      <xdr:rowOff>0</xdr:rowOff>
    </xdr:from>
    <xdr:to>
      <xdr:col>4</xdr:col>
      <xdr:colOff>479341</xdr:colOff>
      <xdr:row>9</xdr:row>
      <xdr:rowOff>479341</xdr:rowOff>
    </xdr:to>
    <xdr:grpSp>
      <xdr:nvGrpSpPr>
        <xdr:cNvPr id="273" name="グループ化 272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GrpSpPr/>
      </xdr:nvGrpSpPr>
      <xdr:grpSpPr>
        <a:xfrm>
          <a:off x="1743075" y="3305175"/>
          <a:ext cx="479341" cy="479341"/>
          <a:chOff x="1754038" y="3550976"/>
          <a:chExt cx="477921" cy="477921"/>
        </a:xfrm>
      </xdr:grpSpPr>
      <xdr:grpSp>
        <xdr:nvGrpSpPr>
          <xdr:cNvPr id="193" name="グループ化 192">
            <a:extLst>
              <a:ext uri="{FF2B5EF4-FFF2-40B4-BE49-F238E27FC236}">
                <a16:creationId xmlns:a16="http://schemas.microsoft.com/office/drawing/2014/main" id="{00000000-0008-0000-0300-0000C1000000}"/>
              </a:ext>
            </a:extLst>
          </xdr:cNvPr>
          <xdr:cNvGrpSpPr/>
        </xdr:nvGrpSpPr>
        <xdr:grpSpPr>
          <a:xfrm>
            <a:off x="1754038" y="3550976"/>
            <a:ext cx="477921" cy="477921"/>
            <a:chOff x="1821212" y="3561574"/>
            <a:chExt cx="462804" cy="462920"/>
          </a:xfrm>
        </xdr:grpSpPr>
        <xdr:sp macro="" textlink="">
          <xdr:nvSpPr>
            <xdr:cNvPr id="168" name="正方形/長方形 167">
              <a:extLst>
                <a:ext uri="{FF2B5EF4-FFF2-40B4-BE49-F238E27FC236}">
                  <a16:creationId xmlns:a16="http://schemas.microsoft.com/office/drawing/2014/main" id="{00000000-0008-0000-0300-0000A8000000}"/>
                </a:ext>
              </a:extLst>
            </xdr:cNvPr>
            <xdr:cNvSpPr/>
          </xdr:nvSpPr>
          <xdr:spPr>
            <a:xfrm rot="16200000">
              <a:off x="1821154" y="3561632"/>
              <a:ext cx="462920" cy="462804"/>
            </a:xfrm>
            <a:prstGeom prst="rect">
              <a:avLst/>
            </a:prstGeom>
            <a:ln w="635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endParaRPr lang="ja-JP" altLang="en-US"/>
            </a:p>
          </xdr:txBody>
        </xdr:sp>
        <xdr:cxnSp macro="">
          <xdr:nvCxnSpPr>
            <xdr:cNvPr id="169" name="直線コネクタ 168">
              <a:extLst>
                <a:ext uri="{FF2B5EF4-FFF2-40B4-BE49-F238E27FC236}">
                  <a16:creationId xmlns:a16="http://schemas.microsoft.com/office/drawing/2014/main" id="{00000000-0008-0000-0300-0000A9000000}"/>
                </a:ext>
              </a:extLst>
            </xdr:cNvPr>
            <xdr:cNvCxnSpPr>
              <a:stCxn id="168" idx="0"/>
              <a:endCxn id="168" idx="2"/>
            </xdr:cNvCxnSpPr>
          </xdr:nvCxnSpPr>
          <xdr:spPr>
            <a:xfrm rot="16200000">
              <a:off x="2052614" y="3561632"/>
              <a:ext cx="0" cy="462804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170" name="直線コネクタ 169">
              <a:extLst>
                <a:ext uri="{FF2B5EF4-FFF2-40B4-BE49-F238E27FC236}">
                  <a16:creationId xmlns:a16="http://schemas.microsoft.com/office/drawing/2014/main" id="{00000000-0008-0000-0300-0000AA000000}"/>
                </a:ext>
              </a:extLst>
            </xdr:cNvPr>
            <xdr:cNvCxnSpPr>
              <a:stCxn id="168" idx="1"/>
            </xdr:cNvCxnSpPr>
          </xdr:nvCxnSpPr>
          <xdr:spPr>
            <a:xfrm rot="16200000">
              <a:off x="1931671" y="3902725"/>
              <a:ext cx="242712" cy="826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272" name="正方形/長方形 271">
            <a:extLst>
              <a:ext uri="{FF2B5EF4-FFF2-40B4-BE49-F238E27FC236}">
                <a16:creationId xmlns:a16="http://schemas.microsoft.com/office/drawing/2014/main" id="{00000000-0008-0000-0300-000010010000}"/>
              </a:ext>
            </a:extLst>
          </xdr:cNvPr>
          <xdr:cNvSpPr/>
        </xdr:nvSpPr>
        <xdr:spPr>
          <a:xfrm>
            <a:off x="2027255" y="3815233"/>
            <a:ext cx="72000" cy="73269"/>
          </a:xfrm>
          <a:prstGeom prst="rect">
            <a:avLst/>
          </a:prstGeom>
          <a:solidFill>
            <a:schemeClr val="accent6"/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13</xdr:col>
      <xdr:colOff>0</xdr:colOff>
      <xdr:row>6</xdr:row>
      <xdr:rowOff>0</xdr:rowOff>
    </xdr:from>
    <xdr:to>
      <xdr:col>13</xdr:col>
      <xdr:colOff>479342</xdr:colOff>
      <xdr:row>6</xdr:row>
      <xdr:rowOff>479341</xdr:rowOff>
    </xdr:to>
    <xdr:grpSp>
      <xdr:nvGrpSpPr>
        <xdr:cNvPr id="342" name="グループ化 341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GrpSpPr/>
      </xdr:nvGrpSpPr>
      <xdr:grpSpPr>
        <a:xfrm>
          <a:off x="5610225" y="1876425"/>
          <a:ext cx="479342" cy="479341"/>
          <a:chOff x="5595954" y="1630158"/>
          <a:chExt cx="475201" cy="475200"/>
        </a:xfrm>
      </xdr:grpSpPr>
      <xdr:grpSp>
        <xdr:nvGrpSpPr>
          <xdr:cNvPr id="274" name="グループ化 273">
            <a:extLst>
              <a:ext uri="{FF2B5EF4-FFF2-40B4-BE49-F238E27FC236}">
                <a16:creationId xmlns:a16="http://schemas.microsoft.com/office/drawing/2014/main" id="{00000000-0008-0000-0300-000012010000}"/>
              </a:ext>
            </a:extLst>
          </xdr:cNvPr>
          <xdr:cNvGrpSpPr/>
        </xdr:nvGrpSpPr>
        <xdr:grpSpPr>
          <a:xfrm rot="10800000">
            <a:off x="5595954" y="1630158"/>
            <a:ext cx="475201" cy="475200"/>
            <a:chOff x="3637122" y="6385992"/>
            <a:chExt cx="475200" cy="475200"/>
          </a:xfrm>
        </xdr:grpSpPr>
        <xdr:sp macro="" textlink="">
          <xdr:nvSpPr>
            <xdr:cNvPr id="275" name="正方形/長方形 274">
              <a:extLst>
                <a:ext uri="{FF2B5EF4-FFF2-40B4-BE49-F238E27FC236}">
                  <a16:creationId xmlns:a16="http://schemas.microsoft.com/office/drawing/2014/main" id="{00000000-0008-0000-0300-000013010000}"/>
                </a:ext>
              </a:extLst>
            </xdr:cNvPr>
            <xdr:cNvSpPr/>
          </xdr:nvSpPr>
          <xdr:spPr>
            <a:xfrm rot="5400000">
              <a:off x="3639781" y="6388651"/>
              <a:ext cx="475200" cy="469882"/>
            </a:xfrm>
            <a:prstGeom prst="rect">
              <a:avLst/>
            </a:prstGeom>
            <a:ln w="635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endParaRPr lang="ja-JP" altLang="en-US"/>
            </a:p>
          </xdr:txBody>
        </xdr:sp>
        <xdr:sp macro="" textlink="">
          <xdr:nvSpPr>
            <xdr:cNvPr id="276" name="フリーフォーム: 図形 275">
              <a:extLst>
                <a:ext uri="{FF2B5EF4-FFF2-40B4-BE49-F238E27FC236}">
                  <a16:creationId xmlns:a16="http://schemas.microsoft.com/office/drawing/2014/main" id="{00000000-0008-0000-0300-000014010000}"/>
                </a:ext>
              </a:extLst>
            </xdr:cNvPr>
            <xdr:cNvSpPr/>
          </xdr:nvSpPr>
          <xdr:spPr>
            <a:xfrm rot="5400000">
              <a:off x="3640884" y="6394912"/>
              <a:ext cx="229688" cy="237213"/>
            </a:xfrm>
            <a:custGeom>
              <a:avLst/>
              <a:gdLst>
                <a:gd name="connsiteX0" fmla="*/ 0 w 249986"/>
                <a:gd name="connsiteY0" fmla="*/ 0 h 250658"/>
                <a:gd name="connsiteX1" fmla="*/ 115303 w 249986"/>
                <a:gd name="connsiteY1" fmla="*/ 15039 h 250658"/>
                <a:gd name="connsiteX2" fmla="*/ 200526 w 249986"/>
                <a:gd name="connsiteY2" fmla="*/ 75197 h 250658"/>
                <a:gd name="connsiteX3" fmla="*/ 245645 w 249986"/>
                <a:gd name="connsiteY3" fmla="*/ 195513 h 250658"/>
                <a:gd name="connsiteX4" fmla="*/ 245645 w 249986"/>
                <a:gd name="connsiteY4" fmla="*/ 250658 h 25065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49986" h="250658">
                  <a:moveTo>
                    <a:pt x="0" y="0"/>
                  </a:moveTo>
                  <a:cubicBezTo>
                    <a:pt x="40941" y="1253"/>
                    <a:pt x="81882" y="2506"/>
                    <a:pt x="115303" y="15039"/>
                  </a:cubicBezTo>
                  <a:cubicBezTo>
                    <a:pt x="148724" y="27572"/>
                    <a:pt x="178802" y="45118"/>
                    <a:pt x="200526" y="75197"/>
                  </a:cubicBezTo>
                  <a:cubicBezTo>
                    <a:pt x="222250" y="105276"/>
                    <a:pt x="238125" y="166270"/>
                    <a:pt x="245645" y="195513"/>
                  </a:cubicBezTo>
                  <a:cubicBezTo>
                    <a:pt x="253165" y="224756"/>
                    <a:pt x="249405" y="237707"/>
                    <a:pt x="245645" y="250658"/>
                  </a:cubicBezTo>
                </a:path>
              </a:pathLst>
            </a:cu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  <xdr:sp macro="" textlink="">
        <xdr:nvSpPr>
          <xdr:cNvPr id="277" name="直方体 276">
            <a:extLst>
              <a:ext uri="{FF2B5EF4-FFF2-40B4-BE49-F238E27FC236}">
                <a16:creationId xmlns:a16="http://schemas.microsoft.com/office/drawing/2014/main" id="{00000000-0008-0000-0300-000015010000}"/>
              </a:ext>
            </a:extLst>
          </xdr:cNvPr>
          <xdr:cNvSpPr/>
        </xdr:nvSpPr>
        <xdr:spPr>
          <a:xfrm rot="19246139" flipH="1">
            <a:off x="5889906" y="1741632"/>
            <a:ext cx="48609" cy="358092"/>
          </a:xfrm>
          <a:prstGeom prst="cube">
            <a:avLst/>
          </a:prstGeom>
          <a:solidFill>
            <a:schemeClr val="bg1">
              <a:lumMod val="95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13</xdr:col>
      <xdr:colOff>0</xdr:colOff>
      <xdr:row>7</xdr:row>
      <xdr:rowOff>1050</xdr:rowOff>
    </xdr:from>
    <xdr:to>
      <xdr:col>13</xdr:col>
      <xdr:colOff>475200</xdr:colOff>
      <xdr:row>8</xdr:row>
      <xdr:rowOff>0</xdr:rowOff>
    </xdr:to>
    <xdr:grpSp>
      <xdr:nvGrpSpPr>
        <xdr:cNvPr id="278" name="グループ化 277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GrpSpPr/>
      </xdr:nvGrpSpPr>
      <xdr:grpSpPr>
        <a:xfrm>
          <a:off x="5610225" y="2353725"/>
          <a:ext cx="475200" cy="475200"/>
          <a:chOff x="3186105" y="5947365"/>
          <a:chExt cx="477921" cy="477921"/>
        </a:xfrm>
      </xdr:grpSpPr>
      <xdr:grpSp>
        <xdr:nvGrpSpPr>
          <xdr:cNvPr id="279" name="グループ化 278">
            <a:extLst>
              <a:ext uri="{FF2B5EF4-FFF2-40B4-BE49-F238E27FC236}">
                <a16:creationId xmlns:a16="http://schemas.microsoft.com/office/drawing/2014/main" id="{00000000-0008-0000-0300-000017010000}"/>
              </a:ext>
            </a:extLst>
          </xdr:cNvPr>
          <xdr:cNvGrpSpPr/>
        </xdr:nvGrpSpPr>
        <xdr:grpSpPr>
          <a:xfrm>
            <a:off x="3186105" y="5947365"/>
            <a:ext cx="477921" cy="477921"/>
            <a:chOff x="3187681" y="5909265"/>
            <a:chExt cx="468523" cy="468406"/>
          </a:xfrm>
        </xdr:grpSpPr>
        <xdr:sp macro="" textlink="">
          <xdr:nvSpPr>
            <xdr:cNvPr id="281" name="正方形/長方形 280">
              <a:extLst>
                <a:ext uri="{FF2B5EF4-FFF2-40B4-BE49-F238E27FC236}">
                  <a16:creationId xmlns:a16="http://schemas.microsoft.com/office/drawing/2014/main" id="{00000000-0008-0000-0300-000019010000}"/>
                </a:ext>
              </a:extLst>
            </xdr:cNvPr>
            <xdr:cNvSpPr/>
          </xdr:nvSpPr>
          <xdr:spPr>
            <a:xfrm>
              <a:off x="3187681" y="5909265"/>
              <a:ext cx="468523" cy="468406"/>
            </a:xfrm>
            <a:prstGeom prst="rect">
              <a:avLst/>
            </a:prstGeom>
            <a:ln w="635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endParaRPr lang="ja-JP" altLang="en-US"/>
            </a:p>
          </xdr:txBody>
        </xdr:sp>
        <xdr:cxnSp macro="">
          <xdr:nvCxnSpPr>
            <xdr:cNvPr id="282" name="直線コネクタ 281">
              <a:extLst>
                <a:ext uri="{FF2B5EF4-FFF2-40B4-BE49-F238E27FC236}">
                  <a16:creationId xmlns:a16="http://schemas.microsoft.com/office/drawing/2014/main" id="{00000000-0008-0000-0300-00001A010000}"/>
                </a:ext>
              </a:extLst>
            </xdr:cNvPr>
            <xdr:cNvCxnSpPr>
              <a:stCxn id="281" idx="0"/>
              <a:endCxn id="281" idx="2"/>
            </xdr:cNvCxnSpPr>
          </xdr:nvCxnSpPr>
          <xdr:spPr>
            <a:xfrm>
              <a:off x="3421943" y="5909265"/>
              <a:ext cx="0" cy="468406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283" name="直線コネクタ 282">
              <a:extLst>
                <a:ext uri="{FF2B5EF4-FFF2-40B4-BE49-F238E27FC236}">
                  <a16:creationId xmlns:a16="http://schemas.microsoft.com/office/drawing/2014/main" id="{00000000-0008-0000-0300-00001B010000}"/>
                </a:ext>
              </a:extLst>
            </xdr:cNvPr>
            <xdr:cNvCxnSpPr>
              <a:stCxn id="281" idx="1"/>
            </xdr:cNvCxnSpPr>
          </xdr:nvCxnSpPr>
          <xdr:spPr>
            <a:xfrm>
              <a:off x="3187681" y="6143468"/>
              <a:ext cx="245650" cy="836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280" name="正方形/長方形 279">
            <a:extLst>
              <a:ext uri="{FF2B5EF4-FFF2-40B4-BE49-F238E27FC236}">
                <a16:creationId xmlns:a16="http://schemas.microsoft.com/office/drawing/2014/main" id="{00000000-0008-0000-0300-000018010000}"/>
              </a:ext>
            </a:extLst>
          </xdr:cNvPr>
          <xdr:cNvSpPr/>
        </xdr:nvSpPr>
        <xdr:spPr>
          <a:xfrm>
            <a:off x="3333540" y="6095791"/>
            <a:ext cx="72000" cy="73269"/>
          </a:xfrm>
          <a:prstGeom prst="rect">
            <a:avLst/>
          </a:prstGeom>
          <a:solidFill>
            <a:schemeClr val="accent6"/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13</xdr:col>
      <xdr:colOff>0</xdr:colOff>
      <xdr:row>9</xdr:row>
      <xdr:rowOff>0</xdr:rowOff>
    </xdr:from>
    <xdr:to>
      <xdr:col>13</xdr:col>
      <xdr:colOff>475200</xdr:colOff>
      <xdr:row>9</xdr:row>
      <xdr:rowOff>479342</xdr:rowOff>
    </xdr:to>
    <xdr:grpSp>
      <xdr:nvGrpSpPr>
        <xdr:cNvPr id="284" name="グループ化 283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GrpSpPr/>
      </xdr:nvGrpSpPr>
      <xdr:grpSpPr>
        <a:xfrm>
          <a:off x="5610225" y="3305175"/>
          <a:ext cx="475200" cy="479342"/>
          <a:chOff x="3185865" y="4503745"/>
          <a:chExt cx="477921" cy="477922"/>
        </a:xfrm>
      </xdr:grpSpPr>
      <xdr:grpSp>
        <xdr:nvGrpSpPr>
          <xdr:cNvPr id="285" name="グループ化 284">
            <a:extLst>
              <a:ext uri="{FF2B5EF4-FFF2-40B4-BE49-F238E27FC236}">
                <a16:creationId xmlns:a16="http://schemas.microsoft.com/office/drawing/2014/main" id="{00000000-0008-0000-0300-00001D010000}"/>
              </a:ext>
            </a:extLst>
          </xdr:cNvPr>
          <xdr:cNvGrpSpPr/>
        </xdr:nvGrpSpPr>
        <xdr:grpSpPr>
          <a:xfrm>
            <a:off x="3185865" y="4503745"/>
            <a:ext cx="477921" cy="477922"/>
            <a:chOff x="3182427" y="4481544"/>
            <a:chExt cx="468000" cy="468522"/>
          </a:xfrm>
        </xdr:grpSpPr>
        <xdr:sp macro="" textlink="">
          <xdr:nvSpPr>
            <xdr:cNvPr id="288" name="正方形/長方形 287">
              <a:extLst>
                <a:ext uri="{FF2B5EF4-FFF2-40B4-BE49-F238E27FC236}">
                  <a16:creationId xmlns:a16="http://schemas.microsoft.com/office/drawing/2014/main" id="{00000000-0008-0000-0300-000020010000}"/>
                </a:ext>
              </a:extLst>
            </xdr:cNvPr>
            <xdr:cNvSpPr/>
          </xdr:nvSpPr>
          <xdr:spPr>
            <a:xfrm>
              <a:off x="3182427" y="4481544"/>
              <a:ext cx="468000" cy="468522"/>
            </a:xfrm>
            <a:prstGeom prst="rect">
              <a:avLst/>
            </a:prstGeom>
            <a:ln w="635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endParaRPr lang="ja-JP" altLang="en-US"/>
            </a:p>
          </xdr:txBody>
        </xdr:sp>
        <xdr:cxnSp macro="">
          <xdr:nvCxnSpPr>
            <xdr:cNvPr id="289" name="直線コネクタ 288">
              <a:extLst>
                <a:ext uri="{FF2B5EF4-FFF2-40B4-BE49-F238E27FC236}">
                  <a16:creationId xmlns:a16="http://schemas.microsoft.com/office/drawing/2014/main" id="{00000000-0008-0000-0300-000021010000}"/>
                </a:ext>
              </a:extLst>
            </xdr:cNvPr>
            <xdr:cNvCxnSpPr>
              <a:stCxn id="288" idx="0"/>
              <a:endCxn id="288" idx="2"/>
            </xdr:cNvCxnSpPr>
          </xdr:nvCxnSpPr>
          <xdr:spPr>
            <a:xfrm>
              <a:off x="3416427" y="4481544"/>
              <a:ext cx="0" cy="468522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290" name="直線コネクタ 289">
              <a:extLst>
                <a:ext uri="{FF2B5EF4-FFF2-40B4-BE49-F238E27FC236}">
                  <a16:creationId xmlns:a16="http://schemas.microsoft.com/office/drawing/2014/main" id="{00000000-0008-0000-0300-000022010000}"/>
                </a:ext>
              </a:extLst>
            </xdr:cNvPr>
            <xdr:cNvCxnSpPr>
              <a:stCxn id="288" idx="1"/>
              <a:endCxn id="288" idx="3"/>
            </xdr:cNvCxnSpPr>
          </xdr:nvCxnSpPr>
          <xdr:spPr>
            <a:xfrm>
              <a:off x="3182427" y="4715805"/>
              <a:ext cx="468000" cy="0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286" name="正方形/長方形 285">
            <a:extLst>
              <a:ext uri="{FF2B5EF4-FFF2-40B4-BE49-F238E27FC236}">
                <a16:creationId xmlns:a16="http://schemas.microsoft.com/office/drawing/2014/main" id="{00000000-0008-0000-0300-00001E010000}"/>
              </a:ext>
            </a:extLst>
          </xdr:cNvPr>
          <xdr:cNvSpPr/>
        </xdr:nvSpPr>
        <xdr:spPr>
          <a:xfrm>
            <a:off x="3328097" y="4767733"/>
            <a:ext cx="72000" cy="73269"/>
          </a:xfrm>
          <a:prstGeom prst="rect">
            <a:avLst/>
          </a:prstGeom>
          <a:solidFill>
            <a:schemeClr val="accent6"/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87" name="正方形/長方形 286">
            <a:extLst>
              <a:ext uri="{FF2B5EF4-FFF2-40B4-BE49-F238E27FC236}">
                <a16:creationId xmlns:a16="http://schemas.microsoft.com/office/drawing/2014/main" id="{00000000-0008-0000-0300-00001F010000}"/>
              </a:ext>
            </a:extLst>
          </xdr:cNvPr>
          <xdr:cNvSpPr/>
        </xdr:nvSpPr>
        <xdr:spPr>
          <a:xfrm>
            <a:off x="3453282" y="4767733"/>
            <a:ext cx="72000" cy="73269"/>
          </a:xfrm>
          <a:prstGeom prst="rect">
            <a:avLst/>
          </a:prstGeom>
          <a:solidFill>
            <a:schemeClr val="accent6"/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13</xdr:col>
      <xdr:colOff>5191</xdr:colOff>
      <xdr:row>8</xdr:row>
      <xdr:rowOff>0</xdr:rowOff>
    </xdr:from>
    <xdr:to>
      <xdr:col>14</xdr:col>
      <xdr:colOff>0</xdr:colOff>
      <xdr:row>8</xdr:row>
      <xdr:rowOff>479341</xdr:rowOff>
    </xdr:to>
    <xdr:grpSp>
      <xdr:nvGrpSpPr>
        <xdr:cNvPr id="291" name="グループ化 290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GrpSpPr/>
      </xdr:nvGrpSpPr>
      <xdr:grpSpPr>
        <a:xfrm>
          <a:off x="5615416" y="2828925"/>
          <a:ext cx="471059" cy="479341"/>
          <a:chOff x="3186105" y="5947365"/>
          <a:chExt cx="477921" cy="477921"/>
        </a:xfrm>
      </xdr:grpSpPr>
      <xdr:grpSp>
        <xdr:nvGrpSpPr>
          <xdr:cNvPr id="292" name="グループ化 291">
            <a:extLst>
              <a:ext uri="{FF2B5EF4-FFF2-40B4-BE49-F238E27FC236}">
                <a16:creationId xmlns:a16="http://schemas.microsoft.com/office/drawing/2014/main" id="{00000000-0008-0000-0300-000024010000}"/>
              </a:ext>
            </a:extLst>
          </xdr:cNvPr>
          <xdr:cNvGrpSpPr/>
        </xdr:nvGrpSpPr>
        <xdr:grpSpPr>
          <a:xfrm>
            <a:off x="3186105" y="5947365"/>
            <a:ext cx="477921" cy="477921"/>
            <a:chOff x="3187681" y="5909265"/>
            <a:chExt cx="468523" cy="468406"/>
          </a:xfrm>
        </xdr:grpSpPr>
        <xdr:sp macro="" textlink="">
          <xdr:nvSpPr>
            <xdr:cNvPr id="294" name="正方形/長方形 293">
              <a:extLst>
                <a:ext uri="{FF2B5EF4-FFF2-40B4-BE49-F238E27FC236}">
                  <a16:creationId xmlns:a16="http://schemas.microsoft.com/office/drawing/2014/main" id="{00000000-0008-0000-0300-000026010000}"/>
                </a:ext>
              </a:extLst>
            </xdr:cNvPr>
            <xdr:cNvSpPr/>
          </xdr:nvSpPr>
          <xdr:spPr>
            <a:xfrm>
              <a:off x="3187681" y="5909265"/>
              <a:ext cx="468523" cy="468406"/>
            </a:xfrm>
            <a:prstGeom prst="rect">
              <a:avLst/>
            </a:prstGeom>
            <a:ln w="635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endParaRPr lang="ja-JP" altLang="en-US"/>
            </a:p>
          </xdr:txBody>
        </xdr:sp>
        <xdr:cxnSp macro="">
          <xdr:nvCxnSpPr>
            <xdr:cNvPr id="295" name="直線コネクタ 294">
              <a:extLst>
                <a:ext uri="{FF2B5EF4-FFF2-40B4-BE49-F238E27FC236}">
                  <a16:creationId xmlns:a16="http://schemas.microsoft.com/office/drawing/2014/main" id="{00000000-0008-0000-0300-000027010000}"/>
                </a:ext>
              </a:extLst>
            </xdr:cNvPr>
            <xdr:cNvCxnSpPr>
              <a:stCxn id="294" idx="0"/>
              <a:endCxn id="294" idx="2"/>
            </xdr:cNvCxnSpPr>
          </xdr:nvCxnSpPr>
          <xdr:spPr>
            <a:xfrm>
              <a:off x="3421943" y="5909265"/>
              <a:ext cx="0" cy="468406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296" name="直線コネクタ 295">
              <a:extLst>
                <a:ext uri="{FF2B5EF4-FFF2-40B4-BE49-F238E27FC236}">
                  <a16:creationId xmlns:a16="http://schemas.microsoft.com/office/drawing/2014/main" id="{00000000-0008-0000-0300-000028010000}"/>
                </a:ext>
              </a:extLst>
            </xdr:cNvPr>
            <xdr:cNvCxnSpPr>
              <a:stCxn id="294" idx="1"/>
            </xdr:cNvCxnSpPr>
          </xdr:nvCxnSpPr>
          <xdr:spPr>
            <a:xfrm>
              <a:off x="3187681" y="6143468"/>
              <a:ext cx="245650" cy="836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293" name="正方形/長方形 292">
            <a:extLst>
              <a:ext uri="{FF2B5EF4-FFF2-40B4-BE49-F238E27FC236}">
                <a16:creationId xmlns:a16="http://schemas.microsoft.com/office/drawing/2014/main" id="{00000000-0008-0000-0300-000025010000}"/>
              </a:ext>
            </a:extLst>
          </xdr:cNvPr>
          <xdr:cNvSpPr/>
        </xdr:nvSpPr>
        <xdr:spPr>
          <a:xfrm>
            <a:off x="3333540" y="6095791"/>
            <a:ext cx="72000" cy="73269"/>
          </a:xfrm>
          <a:prstGeom prst="rect">
            <a:avLst/>
          </a:prstGeom>
          <a:solidFill>
            <a:schemeClr val="accent6"/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13</xdr:col>
      <xdr:colOff>0</xdr:colOff>
      <xdr:row>11</xdr:row>
      <xdr:rowOff>0</xdr:rowOff>
    </xdr:from>
    <xdr:to>
      <xdr:col>13</xdr:col>
      <xdr:colOff>475201</xdr:colOff>
      <xdr:row>11</xdr:row>
      <xdr:rowOff>479341</xdr:rowOff>
    </xdr:to>
    <xdr:grpSp>
      <xdr:nvGrpSpPr>
        <xdr:cNvPr id="343" name="グループ化 342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GrpSpPr/>
      </xdr:nvGrpSpPr>
      <xdr:grpSpPr>
        <a:xfrm>
          <a:off x="5610225" y="4257675"/>
          <a:ext cx="475201" cy="479341"/>
          <a:chOff x="5631857" y="3990204"/>
          <a:chExt cx="475201" cy="475200"/>
        </a:xfrm>
      </xdr:grpSpPr>
      <xdr:grpSp>
        <xdr:nvGrpSpPr>
          <xdr:cNvPr id="297" name="グループ化 296">
            <a:extLst>
              <a:ext uri="{FF2B5EF4-FFF2-40B4-BE49-F238E27FC236}">
                <a16:creationId xmlns:a16="http://schemas.microsoft.com/office/drawing/2014/main" id="{00000000-0008-0000-0300-000029010000}"/>
              </a:ext>
            </a:extLst>
          </xdr:cNvPr>
          <xdr:cNvGrpSpPr/>
        </xdr:nvGrpSpPr>
        <xdr:grpSpPr>
          <a:xfrm rot="10800000">
            <a:off x="5631857" y="3990204"/>
            <a:ext cx="475201" cy="475200"/>
            <a:chOff x="3637122" y="6385992"/>
            <a:chExt cx="475200" cy="475200"/>
          </a:xfrm>
        </xdr:grpSpPr>
        <xdr:sp macro="" textlink="">
          <xdr:nvSpPr>
            <xdr:cNvPr id="298" name="正方形/長方形 297">
              <a:extLst>
                <a:ext uri="{FF2B5EF4-FFF2-40B4-BE49-F238E27FC236}">
                  <a16:creationId xmlns:a16="http://schemas.microsoft.com/office/drawing/2014/main" id="{00000000-0008-0000-0300-00002A010000}"/>
                </a:ext>
              </a:extLst>
            </xdr:cNvPr>
            <xdr:cNvSpPr/>
          </xdr:nvSpPr>
          <xdr:spPr>
            <a:xfrm rot="5400000">
              <a:off x="3639781" y="6388651"/>
              <a:ext cx="475200" cy="469882"/>
            </a:xfrm>
            <a:prstGeom prst="rect">
              <a:avLst/>
            </a:prstGeom>
            <a:ln w="635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endParaRPr lang="ja-JP" altLang="en-US"/>
            </a:p>
          </xdr:txBody>
        </xdr:sp>
        <xdr:sp macro="" textlink="">
          <xdr:nvSpPr>
            <xdr:cNvPr id="299" name="フリーフォーム: 図形 298">
              <a:extLst>
                <a:ext uri="{FF2B5EF4-FFF2-40B4-BE49-F238E27FC236}">
                  <a16:creationId xmlns:a16="http://schemas.microsoft.com/office/drawing/2014/main" id="{00000000-0008-0000-0300-00002B010000}"/>
                </a:ext>
              </a:extLst>
            </xdr:cNvPr>
            <xdr:cNvSpPr/>
          </xdr:nvSpPr>
          <xdr:spPr>
            <a:xfrm rot="5400000">
              <a:off x="3640884" y="6394912"/>
              <a:ext cx="229688" cy="237213"/>
            </a:xfrm>
            <a:custGeom>
              <a:avLst/>
              <a:gdLst>
                <a:gd name="connsiteX0" fmla="*/ 0 w 249986"/>
                <a:gd name="connsiteY0" fmla="*/ 0 h 250658"/>
                <a:gd name="connsiteX1" fmla="*/ 115303 w 249986"/>
                <a:gd name="connsiteY1" fmla="*/ 15039 h 250658"/>
                <a:gd name="connsiteX2" fmla="*/ 200526 w 249986"/>
                <a:gd name="connsiteY2" fmla="*/ 75197 h 250658"/>
                <a:gd name="connsiteX3" fmla="*/ 245645 w 249986"/>
                <a:gd name="connsiteY3" fmla="*/ 195513 h 250658"/>
                <a:gd name="connsiteX4" fmla="*/ 245645 w 249986"/>
                <a:gd name="connsiteY4" fmla="*/ 250658 h 25065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49986" h="250658">
                  <a:moveTo>
                    <a:pt x="0" y="0"/>
                  </a:moveTo>
                  <a:cubicBezTo>
                    <a:pt x="40941" y="1253"/>
                    <a:pt x="81882" y="2506"/>
                    <a:pt x="115303" y="15039"/>
                  </a:cubicBezTo>
                  <a:cubicBezTo>
                    <a:pt x="148724" y="27572"/>
                    <a:pt x="178802" y="45118"/>
                    <a:pt x="200526" y="75197"/>
                  </a:cubicBezTo>
                  <a:cubicBezTo>
                    <a:pt x="222250" y="105276"/>
                    <a:pt x="238125" y="166270"/>
                    <a:pt x="245645" y="195513"/>
                  </a:cubicBezTo>
                  <a:cubicBezTo>
                    <a:pt x="253165" y="224756"/>
                    <a:pt x="249405" y="237707"/>
                    <a:pt x="245645" y="250658"/>
                  </a:cubicBezTo>
                </a:path>
              </a:pathLst>
            </a:cu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  <xdr:sp macro="" textlink="">
        <xdr:nvSpPr>
          <xdr:cNvPr id="300" name="直方体 299">
            <a:extLst>
              <a:ext uri="{FF2B5EF4-FFF2-40B4-BE49-F238E27FC236}">
                <a16:creationId xmlns:a16="http://schemas.microsoft.com/office/drawing/2014/main" id="{00000000-0008-0000-0300-00002C010000}"/>
              </a:ext>
            </a:extLst>
          </xdr:cNvPr>
          <xdr:cNvSpPr/>
        </xdr:nvSpPr>
        <xdr:spPr>
          <a:xfrm rot="19246139" flipH="1">
            <a:off x="5892622" y="4096075"/>
            <a:ext cx="48609" cy="358092"/>
          </a:xfrm>
          <a:prstGeom prst="cube">
            <a:avLst/>
          </a:prstGeom>
          <a:solidFill>
            <a:schemeClr val="bg1">
              <a:lumMod val="95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13</xdr:col>
      <xdr:colOff>0</xdr:colOff>
      <xdr:row>12</xdr:row>
      <xdr:rowOff>0</xdr:rowOff>
    </xdr:from>
    <xdr:to>
      <xdr:col>13</xdr:col>
      <xdr:colOff>479341</xdr:colOff>
      <xdr:row>12</xdr:row>
      <xdr:rowOff>475200</xdr:rowOff>
    </xdr:to>
    <xdr:grpSp>
      <xdr:nvGrpSpPr>
        <xdr:cNvPr id="301" name="グループ化 300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GrpSpPr/>
      </xdr:nvGrpSpPr>
      <xdr:grpSpPr>
        <a:xfrm>
          <a:off x="5610225" y="4733925"/>
          <a:ext cx="479341" cy="475200"/>
          <a:chOff x="2219285" y="5430191"/>
          <a:chExt cx="475200" cy="475200"/>
        </a:xfrm>
      </xdr:grpSpPr>
      <xdr:grpSp>
        <xdr:nvGrpSpPr>
          <xdr:cNvPr id="302" name="グループ化 301">
            <a:extLst>
              <a:ext uri="{FF2B5EF4-FFF2-40B4-BE49-F238E27FC236}">
                <a16:creationId xmlns:a16="http://schemas.microsoft.com/office/drawing/2014/main" id="{00000000-0008-0000-0300-00002E010000}"/>
              </a:ext>
            </a:extLst>
          </xdr:cNvPr>
          <xdr:cNvGrpSpPr/>
        </xdr:nvGrpSpPr>
        <xdr:grpSpPr>
          <a:xfrm>
            <a:off x="2219285" y="5430191"/>
            <a:ext cx="475200" cy="475200"/>
            <a:chOff x="2230082" y="5430191"/>
            <a:chExt cx="468000" cy="468000"/>
          </a:xfrm>
        </xdr:grpSpPr>
        <xdr:sp macro="" textlink="">
          <xdr:nvSpPr>
            <xdr:cNvPr id="304" name="正方形/長方形 303">
              <a:extLst>
                <a:ext uri="{FF2B5EF4-FFF2-40B4-BE49-F238E27FC236}">
                  <a16:creationId xmlns:a16="http://schemas.microsoft.com/office/drawing/2014/main" id="{00000000-0008-0000-0300-000030010000}"/>
                </a:ext>
              </a:extLst>
            </xdr:cNvPr>
            <xdr:cNvSpPr/>
          </xdr:nvSpPr>
          <xdr:spPr>
            <a:xfrm>
              <a:off x="2230082" y="5430191"/>
              <a:ext cx="468000" cy="468000"/>
            </a:xfrm>
            <a:prstGeom prst="rect">
              <a:avLst/>
            </a:prstGeom>
            <a:ln w="635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endParaRPr lang="ja-JP" altLang="en-US"/>
            </a:p>
          </xdr:txBody>
        </xdr:sp>
        <xdr:cxnSp macro="">
          <xdr:nvCxnSpPr>
            <xdr:cNvPr id="305" name="直線コネクタ 304">
              <a:extLst>
                <a:ext uri="{FF2B5EF4-FFF2-40B4-BE49-F238E27FC236}">
                  <a16:creationId xmlns:a16="http://schemas.microsoft.com/office/drawing/2014/main" id="{00000000-0008-0000-0300-000031010000}"/>
                </a:ext>
              </a:extLst>
            </xdr:cNvPr>
            <xdr:cNvCxnSpPr>
              <a:stCxn id="304" idx="3"/>
              <a:endCxn id="304" idx="1"/>
            </xdr:cNvCxnSpPr>
          </xdr:nvCxnSpPr>
          <xdr:spPr>
            <a:xfrm flipH="1">
              <a:off x="2230082" y="5664191"/>
              <a:ext cx="468000" cy="0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303" name="正方形/長方形 302">
            <a:extLst>
              <a:ext uri="{FF2B5EF4-FFF2-40B4-BE49-F238E27FC236}">
                <a16:creationId xmlns:a16="http://schemas.microsoft.com/office/drawing/2014/main" id="{00000000-0008-0000-0300-00002F010000}"/>
              </a:ext>
            </a:extLst>
          </xdr:cNvPr>
          <xdr:cNvSpPr/>
        </xdr:nvSpPr>
        <xdr:spPr>
          <a:xfrm>
            <a:off x="2329574" y="5500795"/>
            <a:ext cx="249503" cy="294801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</xdr:grpSp>
    <xdr:clientData/>
  </xdr:twoCellAnchor>
  <xdr:twoCellAnchor>
    <xdr:from>
      <xdr:col>13</xdr:col>
      <xdr:colOff>5191</xdr:colOff>
      <xdr:row>13</xdr:row>
      <xdr:rowOff>1050</xdr:rowOff>
    </xdr:from>
    <xdr:to>
      <xdr:col>14</xdr:col>
      <xdr:colOff>0</xdr:colOff>
      <xdr:row>14</xdr:row>
      <xdr:rowOff>0</xdr:rowOff>
    </xdr:to>
    <xdr:grpSp>
      <xdr:nvGrpSpPr>
        <xdr:cNvPr id="306" name="グループ化 305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GrpSpPr/>
      </xdr:nvGrpSpPr>
      <xdr:grpSpPr>
        <a:xfrm>
          <a:off x="5615416" y="5211225"/>
          <a:ext cx="471059" cy="475200"/>
          <a:chOff x="1749249" y="5461419"/>
          <a:chExt cx="477921" cy="477922"/>
        </a:xfrm>
      </xdr:grpSpPr>
      <xdr:grpSp>
        <xdr:nvGrpSpPr>
          <xdr:cNvPr id="307" name="グループ化 306">
            <a:extLst>
              <a:ext uri="{FF2B5EF4-FFF2-40B4-BE49-F238E27FC236}">
                <a16:creationId xmlns:a16="http://schemas.microsoft.com/office/drawing/2014/main" id="{00000000-0008-0000-0300-000033010000}"/>
              </a:ext>
            </a:extLst>
          </xdr:cNvPr>
          <xdr:cNvGrpSpPr/>
        </xdr:nvGrpSpPr>
        <xdr:grpSpPr>
          <a:xfrm>
            <a:off x="1749249" y="5461419"/>
            <a:ext cx="477921" cy="477922"/>
            <a:chOff x="1748962" y="5433775"/>
            <a:chExt cx="468406" cy="468000"/>
          </a:xfrm>
        </xdr:grpSpPr>
        <xdr:sp macro="" textlink="">
          <xdr:nvSpPr>
            <xdr:cNvPr id="309" name="正方形/長方形 308">
              <a:extLst>
                <a:ext uri="{FF2B5EF4-FFF2-40B4-BE49-F238E27FC236}">
                  <a16:creationId xmlns:a16="http://schemas.microsoft.com/office/drawing/2014/main" id="{00000000-0008-0000-0300-000035010000}"/>
                </a:ext>
              </a:extLst>
            </xdr:cNvPr>
            <xdr:cNvSpPr/>
          </xdr:nvSpPr>
          <xdr:spPr>
            <a:xfrm rot="16200000">
              <a:off x="1749165" y="5433572"/>
              <a:ext cx="468000" cy="468406"/>
            </a:xfrm>
            <a:prstGeom prst="rect">
              <a:avLst/>
            </a:prstGeom>
            <a:ln w="635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endParaRPr lang="ja-JP" altLang="en-US"/>
            </a:p>
          </xdr:txBody>
        </xdr:sp>
        <xdr:cxnSp macro="">
          <xdr:nvCxnSpPr>
            <xdr:cNvPr id="310" name="直線コネクタ 309">
              <a:extLst>
                <a:ext uri="{FF2B5EF4-FFF2-40B4-BE49-F238E27FC236}">
                  <a16:creationId xmlns:a16="http://schemas.microsoft.com/office/drawing/2014/main" id="{00000000-0008-0000-0300-000036010000}"/>
                </a:ext>
              </a:extLst>
            </xdr:cNvPr>
            <xdr:cNvCxnSpPr>
              <a:stCxn id="309" idx="0"/>
              <a:endCxn id="309" idx="2"/>
            </xdr:cNvCxnSpPr>
          </xdr:nvCxnSpPr>
          <xdr:spPr>
            <a:xfrm rot="16200000">
              <a:off x="1983165" y="5433572"/>
              <a:ext cx="0" cy="468406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311" name="直線コネクタ 310">
              <a:extLst>
                <a:ext uri="{FF2B5EF4-FFF2-40B4-BE49-F238E27FC236}">
                  <a16:creationId xmlns:a16="http://schemas.microsoft.com/office/drawing/2014/main" id="{00000000-0008-0000-0300-000037010000}"/>
                </a:ext>
              </a:extLst>
            </xdr:cNvPr>
            <xdr:cNvCxnSpPr>
              <a:stCxn id="309" idx="1"/>
            </xdr:cNvCxnSpPr>
          </xdr:nvCxnSpPr>
          <xdr:spPr>
            <a:xfrm rot="16200000">
              <a:off x="1860895" y="5778669"/>
              <a:ext cx="245376" cy="836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308" name="正方形/長方形 307">
            <a:extLst>
              <a:ext uri="{FF2B5EF4-FFF2-40B4-BE49-F238E27FC236}">
                <a16:creationId xmlns:a16="http://schemas.microsoft.com/office/drawing/2014/main" id="{00000000-0008-0000-0300-000034010000}"/>
              </a:ext>
            </a:extLst>
          </xdr:cNvPr>
          <xdr:cNvSpPr/>
        </xdr:nvSpPr>
        <xdr:spPr>
          <a:xfrm>
            <a:off x="1891183" y="5731119"/>
            <a:ext cx="72000" cy="73269"/>
          </a:xfrm>
          <a:prstGeom prst="rect">
            <a:avLst/>
          </a:prstGeom>
          <a:solidFill>
            <a:schemeClr val="accent6"/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 editAs="oneCell">
    <xdr:from>
      <xdr:col>13</xdr:col>
      <xdr:colOff>52755</xdr:colOff>
      <xdr:row>14</xdr:row>
      <xdr:rowOff>74001</xdr:rowOff>
    </xdr:from>
    <xdr:to>
      <xdr:col>13</xdr:col>
      <xdr:colOff>353159</xdr:colOff>
      <xdr:row>14</xdr:row>
      <xdr:rowOff>381732</xdr:rowOff>
    </xdr:to>
    <xdr:sp macro="" textlink="">
      <xdr:nvSpPr>
        <xdr:cNvPr id="312" name="矢印: 折線 311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SpPr/>
      </xdr:nvSpPr>
      <xdr:spPr>
        <a:xfrm rot="10800000" flipV="1">
          <a:off x="5665178" y="5503251"/>
          <a:ext cx="300404" cy="307731"/>
        </a:xfrm>
        <a:prstGeom prst="ben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13</xdr:col>
      <xdr:colOff>101112</xdr:colOff>
      <xdr:row>15</xdr:row>
      <xdr:rowOff>126753</xdr:rowOff>
    </xdr:from>
    <xdr:to>
      <xdr:col>13</xdr:col>
      <xdr:colOff>401516</xdr:colOff>
      <xdr:row>15</xdr:row>
      <xdr:rowOff>427157</xdr:rowOff>
    </xdr:to>
    <xdr:sp macro="" textlink="">
      <xdr:nvSpPr>
        <xdr:cNvPr id="313" name="矢印: 折線 312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SpPr/>
      </xdr:nvSpPr>
      <xdr:spPr>
        <a:xfrm>
          <a:off x="5711337" y="6032253"/>
          <a:ext cx="300404" cy="300404"/>
        </a:xfrm>
        <a:prstGeom prst="bentArrow">
          <a:avLst>
            <a:gd name="adj1" fmla="val 27439"/>
            <a:gd name="adj2" fmla="val 25000"/>
            <a:gd name="adj3" fmla="val 25000"/>
            <a:gd name="adj4" fmla="val 4375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5191</xdr:colOff>
      <xdr:row>17</xdr:row>
      <xdr:rowOff>1049</xdr:rowOff>
    </xdr:from>
    <xdr:to>
      <xdr:col>14</xdr:col>
      <xdr:colOff>0</xdr:colOff>
      <xdr:row>17</xdr:row>
      <xdr:rowOff>480391</xdr:rowOff>
    </xdr:to>
    <xdr:grpSp>
      <xdr:nvGrpSpPr>
        <xdr:cNvPr id="344" name="グループ化 343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GrpSpPr/>
      </xdr:nvGrpSpPr>
      <xdr:grpSpPr>
        <a:xfrm>
          <a:off x="5615416" y="7116224"/>
          <a:ext cx="471059" cy="479342"/>
          <a:chOff x="5655236" y="6785756"/>
          <a:chExt cx="475200" cy="475201"/>
        </a:xfrm>
      </xdr:grpSpPr>
      <xdr:grpSp>
        <xdr:nvGrpSpPr>
          <xdr:cNvPr id="314" name="グループ化 313">
            <a:extLst>
              <a:ext uri="{FF2B5EF4-FFF2-40B4-BE49-F238E27FC236}">
                <a16:creationId xmlns:a16="http://schemas.microsoft.com/office/drawing/2014/main" id="{00000000-0008-0000-0300-00003A010000}"/>
              </a:ext>
            </a:extLst>
          </xdr:cNvPr>
          <xdr:cNvGrpSpPr/>
        </xdr:nvGrpSpPr>
        <xdr:grpSpPr>
          <a:xfrm>
            <a:off x="5655236" y="6785756"/>
            <a:ext cx="475200" cy="475201"/>
            <a:chOff x="1248593" y="4079536"/>
            <a:chExt cx="466726" cy="472329"/>
          </a:xfrm>
        </xdr:grpSpPr>
        <xdr:sp macro="" textlink="">
          <xdr:nvSpPr>
            <xdr:cNvPr id="315" name="正方形/長方形 314">
              <a:extLst>
                <a:ext uri="{FF2B5EF4-FFF2-40B4-BE49-F238E27FC236}">
                  <a16:creationId xmlns:a16="http://schemas.microsoft.com/office/drawing/2014/main" id="{00000000-0008-0000-0300-00003B010000}"/>
                </a:ext>
              </a:extLst>
            </xdr:cNvPr>
            <xdr:cNvSpPr/>
          </xdr:nvSpPr>
          <xdr:spPr>
            <a:xfrm>
              <a:off x="1248593" y="4079537"/>
              <a:ext cx="466726" cy="472328"/>
            </a:xfrm>
            <a:prstGeom prst="rect">
              <a:avLst/>
            </a:prstGeom>
            <a:ln w="635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endParaRPr lang="ja-JP" altLang="en-US"/>
            </a:p>
          </xdr:txBody>
        </xdr:sp>
        <xdr:cxnSp macro="">
          <xdr:nvCxnSpPr>
            <xdr:cNvPr id="316" name="直線コネクタ 315">
              <a:extLst>
                <a:ext uri="{FF2B5EF4-FFF2-40B4-BE49-F238E27FC236}">
                  <a16:creationId xmlns:a16="http://schemas.microsoft.com/office/drawing/2014/main" id="{00000000-0008-0000-0300-00003C010000}"/>
                </a:ext>
              </a:extLst>
            </xdr:cNvPr>
            <xdr:cNvCxnSpPr>
              <a:stCxn id="315" idx="0"/>
              <a:endCxn id="315" idx="2"/>
            </xdr:cNvCxnSpPr>
          </xdr:nvCxnSpPr>
          <xdr:spPr>
            <a:xfrm>
              <a:off x="1481956" y="4079536"/>
              <a:ext cx="0" cy="472328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317" name="直方体 316">
            <a:extLst>
              <a:ext uri="{FF2B5EF4-FFF2-40B4-BE49-F238E27FC236}">
                <a16:creationId xmlns:a16="http://schemas.microsoft.com/office/drawing/2014/main" id="{00000000-0008-0000-0300-00003D010000}"/>
              </a:ext>
            </a:extLst>
          </xdr:cNvPr>
          <xdr:cNvSpPr/>
        </xdr:nvSpPr>
        <xdr:spPr>
          <a:xfrm rot="16200000" flipH="1">
            <a:off x="5866979" y="6855394"/>
            <a:ext cx="48609" cy="358092"/>
          </a:xfrm>
          <a:prstGeom prst="cube">
            <a:avLst/>
          </a:prstGeom>
          <a:solidFill>
            <a:schemeClr val="bg1">
              <a:lumMod val="95000"/>
            </a:schemeClr>
          </a:solidFill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13</xdr:col>
      <xdr:colOff>0</xdr:colOff>
      <xdr:row>18</xdr:row>
      <xdr:rowOff>1051</xdr:rowOff>
    </xdr:from>
    <xdr:to>
      <xdr:col>13</xdr:col>
      <xdr:colOff>479341</xdr:colOff>
      <xdr:row>19</xdr:row>
      <xdr:rowOff>0</xdr:rowOff>
    </xdr:to>
    <xdr:grpSp>
      <xdr:nvGrpSpPr>
        <xdr:cNvPr id="318" name="グループ化 317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GrpSpPr/>
      </xdr:nvGrpSpPr>
      <xdr:grpSpPr>
        <a:xfrm>
          <a:off x="5610225" y="7592476"/>
          <a:ext cx="479341" cy="475199"/>
          <a:chOff x="1765037" y="4493910"/>
          <a:chExt cx="457202" cy="472328"/>
        </a:xfrm>
      </xdr:grpSpPr>
      <xdr:sp macro="" textlink="">
        <xdr:nvSpPr>
          <xdr:cNvPr id="319" name="正方形/長方形 318">
            <a:extLst>
              <a:ext uri="{FF2B5EF4-FFF2-40B4-BE49-F238E27FC236}">
                <a16:creationId xmlns:a16="http://schemas.microsoft.com/office/drawing/2014/main" id="{00000000-0008-0000-0300-00003F010000}"/>
              </a:ext>
            </a:extLst>
          </xdr:cNvPr>
          <xdr:cNvSpPr/>
        </xdr:nvSpPr>
        <xdr:spPr>
          <a:xfrm>
            <a:off x="1765037" y="4493910"/>
            <a:ext cx="457202" cy="472328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cxnSp macro="">
        <xdr:nvCxnSpPr>
          <xdr:cNvPr id="320" name="直線コネクタ 319">
            <a:extLst>
              <a:ext uri="{FF2B5EF4-FFF2-40B4-BE49-F238E27FC236}">
                <a16:creationId xmlns:a16="http://schemas.microsoft.com/office/drawing/2014/main" id="{00000000-0008-0000-0300-000040010000}"/>
              </a:ext>
            </a:extLst>
          </xdr:cNvPr>
          <xdr:cNvCxnSpPr>
            <a:stCxn id="319" idx="3"/>
            <a:endCxn id="319" idx="1"/>
          </xdr:cNvCxnSpPr>
        </xdr:nvCxnSpPr>
        <xdr:spPr>
          <a:xfrm flipH="1">
            <a:off x="1765037" y="4730074"/>
            <a:ext cx="457202" cy="0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13</xdr:col>
      <xdr:colOff>110062</xdr:colOff>
      <xdr:row>18</xdr:row>
      <xdr:rowOff>63746</xdr:rowOff>
    </xdr:from>
    <xdr:to>
      <xdr:col>13</xdr:col>
      <xdr:colOff>361219</xdr:colOff>
      <xdr:row>18</xdr:row>
      <xdr:rowOff>356276</xdr:rowOff>
    </xdr:to>
    <xdr:sp macro="" textlink="">
      <xdr:nvSpPr>
        <xdr:cNvPr id="321" name="直方体 320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SpPr/>
      </xdr:nvSpPr>
      <xdr:spPr>
        <a:xfrm rot="5400000" flipH="1">
          <a:off x="5701799" y="7418682"/>
          <a:ext cx="292530" cy="251157"/>
        </a:xfrm>
        <a:prstGeom prst="cube">
          <a:avLst/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1050</xdr:colOff>
      <xdr:row>19</xdr:row>
      <xdr:rowOff>0</xdr:rowOff>
    </xdr:from>
    <xdr:to>
      <xdr:col>14</xdr:col>
      <xdr:colOff>0</xdr:colOff>
      <xdr:row>19</xdr:row>
      <xdr:rowOff>479341</xdr:rowOff>
    </xdr:to>
    <xdr:grpSp>
      <xdr:nvGrpSpPr>
        <xdr:cNvPr id="322" name="グループ化 321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GrpSpPr/>
      </xdr:nvGrpSpPr>
      <xdr:grpSpPr>
        <a:xfrm>
          <a:off x="5611275" y="8067675"/>
          <a:ext cx="475200" cy="479341"/>
          <a:chOff x="1754038" y="3550976"/>
          <a:chExt cx="477921" cy="477921"/>
        </a:xfrm>
      </xdr:grpSpPr>
      <xdr:grpSp>
        <xdr:nvGrpSpPr>
          <xdr:cNvPr id="323" name="グループ化 322">
            <a:extLst>
              <a:ext uri="{FF2B5EF4-FFF2-40B4-BE49-F238E27FC236}">
                <a16:creationId xmlns:a16="http://schemas.microsoft.com/office/drawing/2014/main" id="{00000000-0008-0000-0300-000043010000}"/>
              </a:ext>
            </a:extLst>
          </xdr:cNvPr>
          <xdr:cNvGrpSpPr/>
        </xdr:nvGrpSpPr>
        <xdr:grpSpPr>
          <a:xfrm>
            <a:off x="1754038" y="3550976"/>
            <a:ext cx="477921" cy="477921"/>
            <a:chOff x="1821212" y="3561574"/>
            <a:chExt cx="462804" cy="462920"/>
          </a:xfrm>
        </xdr:grpSpPr>
        <xdr:sp macro="" textlink="">
          <xdr:nvSpPr>
            <xdr:cNvPr id="325" name="正方形/長方形 324">
              <a:extLst>
                <a:ext uri="{FF2B5EF4-FFF2-40B4-BE49-F238E27FC236}">
                  <a16:creationId xmlns:a16="http://schemas.microsoft.com/office/drawing/2014/main" id="{00000000-0008-0000-0300-000045010000}"/>
                </a:ext>
              </a:extLst>
            </xdr:cNvPr>
            <xdr:cNvSpPr/>
          </xdr:nvSpPr>
          <xdr:spPr>
            <a:xfrm rot="16200000">
              <a:off x="1821154" y="3561632"/>
              <a:ext cx="462920" cy="462804"/>
            </a:xfrm>
            <a:prstGeom prst="rect">
              <a:avLst/>
            </a:prstGeom>
            <a:ln w="635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endParaRPr lang="ja-JP" altLang="en-US"/>
            </a:p>
          </xdr:txBody>
        </xdr:sp>
        <xdr:cxnSp macro="">
          <xdr:nvCxnSpPr>
            <xdr:cNvPr id="326" name="直線コネクタ 325">
              <a:extLst>
                <a:ext uri="{FF2B5EF4-FFF2-40B4-BE49-F238E27FC236}">
                  <a16:creationId xmlns:a16="http://schemas.microsoft.com/office/drawing/2014/main" id="{00000000-0008-0000-0300-000046010000}"/>
                </a:ext>
              </a:extLst>
            </xdr:cNvPr>
            <xdr:cNvCxnSpPr>
              <a:stCxn id="325" idx="0"/>
              <a:endCxn id="325" idx="2"/>
            </xdr:cNvCxnSpPr>
          </xdr:nvCxnSpPr>
          <xdr:spPr>
            <a:xfrm rot="16200000">
              <a:off x="2052614" y="3561632"/>
              <a:ext cx="0" cy="462804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327" name="直線コネクタ 326">
              <a:extLst>
                <a:ext uri="{FF2B5EF4-FFF2-40B4-BE49-F238E27FC236}">
                  <a16:creationId xmlns:a16="http://schemas.microsoft.com/office/drawing/2014/main" id="{00000000-0008-0000-0300-000047010000}"/>
                </a:ext>
              </a:extLst>
            </xdr:cNvPr>
            <xdr:cNvCxnSpPr>
              <a:stCxn id="325" idx="1"/>
            </xdr:cNvCxnSpPr>
          </xdr:nvCxnSpPr>
          <xdr:spPr>
            <a:xfrm rot="16200000">
              <a:off x="1931671" y="3902725"/>
              <a:ext cx="242712" cy="826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324" name="正方形/長方形 323">
            <a:extLst>
              <a:ext uri="{FF2B5EF4-FFF2-40B4-BE49-F238E27FC236}">
                <a16:creationId xmlns:a16="http://schemas.microsoft.com/office/drawing/2014/main" id="{00000000-0008-0000-0300-000044010000}"/>
              </a:ext>
            </a:extLst>
          </xdr:cNvPr>
          <xdr:cNvSpPr/>
        </xdr:nvSpPr>
        <xdr:spPr>
          <a:xfrm>
            <a:off x="2027255" y="3815233"/>
            <a:ext cx="72000" cy="73269"/>
          </a:xfrm>
          <a:prstGeom prst="rect">
            <a:avLst/>
          </a:prstGeom>
          <a:solidFill>
            <a:schemeClr val="accent6"/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13</xdr:col>
      <xdr:colOff>0</xdr:colOff>
      <xdr:row>16</xdr:row>
      <xdr:rowOff>0</xdr:rowOff>
    </xdr:from>
    <xdr:to>
      <xdr:col>13</xdr:col>
      <xdr:colOff>475200</xdr:colOff>
      <xdr:row>16</xdr:row>
      <xdr:rowOff>479341</xdr:rowOff>
    </xdr:to>
    <xdr:grpSp>
      <xdr:nvGrpSpPr>
        <xdr:cNvPr id="328" name="グループ化 327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GrpSpPr/>
      </xdr:nvGrpSpPr>
      <xdr:grpSpPr>
        <a:xfrm>
          <a:off x="5610225" y="6638925"/>
          <a:ext cx="475200" cy="479341"/>
          <a:chOff x="1344903" y="3628868"/>
          <a:chExt cx="462920" cy="462803"/>
        </a:xfrm>
      </xdr:grpSpPr>
      <xdr:sp macro="" textlink="">
        <xdr:nvSpPr>
          <xdr:cNvPr id="329" name="正方形/長方形 328">
            <a:extLst>
              <a:ext uri="{FF2B5EF4-FFF2-40B4-BE49-F238E27FC236}">
                <a16:creationId xmlns:a16="http://schemas.microsoft.com/office/drawing/2014/main" id="{00000000-0008-0000-0300-000049010000}"/>
              </a:ext>
            </a:extLst>
          </xdr:cNvPr>
          <xdr:cNvSpPr/>
        </xdr:nvSpPr>
        <xdr:spPr>
          <a:xfrm rot="10800000">
            <a:off x="1344903" y="3628868"/>
            <a:ext cx="462920" cy="462803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cxnSp macro="">
        <xdr:nvCxnSpPr>
          <xdr:cNvPr id="330" name="直線コネクタ 329">
            <a:extLst>
              <a:ext uri="{FF2B5EF4-FFF2-40B4-BE49-F238E27FC236}">
                <a16:creationId xmlns:a16="http://schemas.microsoft.com/office/drawing/2014/main" id="{00000000-0008-0000-0300-00004A010000}"/>
              </a:ext>
            </a:extLst>
          </xdr:cNvPr>
          <xdr:cNvCxnSpPr>
            <a:stCxn id="329" idx="0"/>
            <a:endCxn id="329" idx="2"/>
          </xdr:cNvCxnSpPr>
        </xdr:nvCxnSpPr>
        <xdr:spPr>
          <a:xfrm rot="10800000">
            <a:off x="1576363" y="3628868"/>
            <a:ext cx="0" cy="462803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1" name="直線コネクタ 330">
            <a:extLst>
              <a:ext uri="{FF2B5EF4-FFF2-40B4-BE49-F238E27FC236}">
                <a16:creationId xmlns:a16="http://schemas.microsoft.com/office/drawing/2014/main" id="{00000000-0008-0000-0300-00004B010000}"/>
              </a:ext>
            </a:extLst>
          </xdr:cNvPr>
          <xdr:cNvCxnSpPr>
            <a:stCxn id="329" idx="1"/>
          </xdr:cNvCxnSpPr>
        </xdr:nvCxnSpPr>
        <xdr:spPr>
          <a:xfrm rot="10800000">
            <a:off x="1565111" y="3859443"/>
            <a:ext cx="242712" cy="826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0</xdr:colOff>
      <xdr:row>5</xdr:row>
      <xdr:rowOff>1050</xdr:rowOff>
    </xdr:from>
    <xdr:to>
      <xdr:col>13</xdr:col>
      <xdr:colOff>475200</xdr:colOff>
      <xdr:row>6</xdr:row>
      <xdr:rowOff>0</xdr:rowOff>
    </xdr:to>
    <xdr:grpSp>
      <xdr:nvGrpSpPr>
        <xdr:cNvPr id="332" name="グループ化 331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GrpSpPr/>
      </xdr:nvGrpSpPr>
      <xdr:grpSpPr>
        <a:xfrm>
          <a:off x="5610225" y="1401225"/>
          <a:ext cx="475200" cy="475200"/>
          <a:chOff x="3182291" y="6381372"/>
          <a:chExt cx="468000" cy="468000"/>
        </a:xfrm>
      </xdr:grpSpPr>
      <xdr:sp macro="" textlink="">
        <xdr:nvSpPr>
          <xdr:cNvPr id="333" name="正方形/長方形 332">
            <a:extLst>
              <a:ext uri="{FF2B5EF4-FFF2-40B4-BE49-F238E27FC236}">
                <a16:creationId xmlns:a16="http://schemas.microsoft.com/office/drawing/2014/main" id="{00000000-0008-0000-0300-00004D010000}"/>
              </a:ext>
            </a:extLst>
          </xdr:cNvPr>
          <xdr:cNvSpPr/>
        </xdr:nvSpPr>
        <xdr:spPr>
          <a:xfrm rot="5400000">
            <a:off x="3182291" y="6381372"/>
            <a:ext cx="468000" cy="468000"/>
          </a:xfrm>
          <a:prstGeom prst="rect">
            <a:avLst/>
          </a:prstGeom>
          <a:ln w="635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cxnSp macro="">
        <xdr:nvCxnSpPr>
          <xdr:cNvPr id="334" name="直線コネクタ 333">
            <a:extLst>
              <a:ext uri="{FF2B5EF4-FFF2-40B4-BE49-F238E27FC236}">
                <a16:creationId xmlns:a16="http://schemas.microsoft.com/office/drawing/2014/main" id="{00000000-0008-0000-0300-00004E010000}"/>
              </a:ext>
            </a:extLst>
          </xdr:cNvPr>
          <xdr:cNvCxnSpPr>
            <a:stCxn id="333" idx="0"/>
            <a:endCxn id="333" idx="2"/>
          </xdr:cNvCxnSpPr>
        </xdr:nvCxnSpPr>
        <xdr:spPr>
          <a:xfrm rot="5400000">
            <a:off x="3416291" y="6381372"/>
            <a:ext cx="0" cy="468000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5" name="直線コネクタ 334">
            <a:extLst>
              <a:ext uri="{FF2B5EF4-FFF2-40B4-BE49-F238E27FC236}">
                <a16:creationId xmlns:a16="http://schemas.microsoft.com/office/drawing/2014/main" id="{00000000-0008-0000-0300-00004F010000}"/>
              </a:ext>
            </a:extLst>
          </xdr:cNvPr>
          <xdr:cNvCxnSpPr>
            <a:stCxn id="333" idx="1"/>
          </xdr:cNvCxnSpPr>
        </xdr:nvCxnSpPr>
        <xdr:spPr>
          <a:xfrm rot="5400000">
            <a:off x="3293185" y="6503642"/>
            <a:ext cx="245376" cy="835"/>
          </a:xfrm>
          <a:prstGeom prst="line">
            <a:avLst/>
          </a:prstGeom>
          <a:ln w="381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0</xdr:colOff>
      <xdr:row>10</xdr:row>
      <xdr:rowOff>5191</xdr:rowOff>
    </xdr:from>
    <xdr:to>
      <xdr:col>13</xdr:col>
      <xdr:colOff>475200</xdr:colOff>
      <xdr:row>11</xdr:row>
      <xdr:rowOff>0</xdr:rowOff>
    </xdr:to>
    <xdr:grpSp>
      <xdr:nvGrpSpPr>
        <xdr:cNvPr id="336" name="グループ化 335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GrpSpPr/>
      </xdr:nvGrpSpPr>
      <xdr:grpSpPr>
        <a:xfrm>
          <a:off x="5610225" y="3786616"/>
          <a:ext cx="475200" cy="471059"/>
          <a:chOff x="3186105" y="5947365"/>
          <a:chExt cx="477921" cy="477921"/>
        </a:xfrm>
      </xdr:grpSpPr>
      <xdr:grpSp>
        <xdr:nvGrpSpPr>
          <xdr:cNvPr id="337" name="グループ化 336">
            <a:extLst>
              <a:ext uri="{FF2B5EF4-FFF2-40B4-BE49-F238E27FC236}">
                <a16:creationId xmlns:a16="http://schemas.microsoft.com/office/drawing/2014/main" id="{00000000-0008-0000-0300-000051010000}"/>
              </a:ext>
            </a:extLst>
          </xdr:cNvPr>
          <xdr:cNvGrpSpPr/>
        </xdr:nvGrpSpPr>
        <xdr:grpSpPr>
          <a:xfrm>
            <a:off x="3186105" y="5947365"/>
            <a:ext cx="477921" cy="477921"/>
            <a:chOff x="3187681" y="5909265"/>
            <a:chExt cx="468523" cy="468406"/>
          </a:xfrm>
        </xdr:grpSpPr>
        <xdr:sp macro="" textlink="">
          <xdr:nvSpPr>
            <xdr:cNvPr id="339" name="正方形/長方形 338">
              <a:extLst>
                <a:ext uri="{FF2B5EF4-FFF2-40B4-BE49-F238E27FC236}">
                  <a16:creationId xmlns:a16="http://schemas.microsoft.com/office/drawing/2014/main" id="{00000000-0008-0000-0300-000053010000}"/>
                </a:ext>
              </a:extLst>
            </xdr:cNvPr>
            <xdr:cNvSpPr/>
          </xdr:nvSpPr>
          <xdr:spPr>
            <a:xfrm>
              <a:off x="3187681" y="5909265"/>
              <a:ext cx="468523" cy="468406"/>
            </a:xfrm>
            <a:prstGeom prst="rect">
              <a:avLst/>
            </a:prstGeom>
            <a:ln w="635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endParaRPr lang="ja-JP" altLang="en-US"/>
            </a:p>
          </xdr:txBody>
        </xdr:sp>
        <xdr:cxnSp macro="">
          <xdr:nvCxnSpPr>
            <xdr:cNvPr id="340" name="直線コネクタ 339">
              <a:extLst>
                <a:ext uri="{FF2B5EF4-FFF2-40B4-BE49-F238E27FC236}">
                  <a16:creationId xmlns:a16="http://schemas.microsoft.com/office/drawing/2014/main" id="{00000000-0008-0000-0300-000054010000}"/>
                </a:ext>
              </a:extLst>
            </xdr:cNvPr>
            <xdr:cNvCxnSpPr>
              <a:stCxn id="339" idx="0"/>
              <a:endCxn id="339" idx="2"/>
            </xdr:cNvCxnSpPr>
          </xdr:nvCxnSpPr>
          <xdr:spPr>
            <a:xfrm>
              <a:off x="3421943" y="5909265"/>
              <a:ext cx="0" cy="468406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341" name="直線コネクタ 340">
              <a:extLst>
                <a:ext uri="{FF2B5EF4-FFF2-40B4-BE49-F238E27FC236}">
                  <a16:creationId xmlns:a16="http://schemas.microsoft.com/office/drawing/2014/main" id="{00000000-0008-0000-0300-000055010000}"/>
                </a:ext>
              </a:extLst>
            </xdr:cNvPr>
            <xdr:cNvCxnSpPr>
              <a:stCxn id="339" idx="1"/>
            </xdr:cNvCxnSpPr>
          </xdr:nvCxnSpPr>
          <xdr:spPr>
            <a:xfrm>
              <a:off x="3187681" y="6143468"/>
              <a:ext cx="245650" cy="836"/>
            </a:xfrm>
            <a:prstGeom prst="line">
              <a:avLst/>
            </a:prstGeom>
            <a:ln w="3810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338" name="正方形/長方形 337">
            <a:extLst>
              <a:ext uri="{FF2B5EF4-FFF2-40B4-BE49-F238E27FC236}">
                <a16:creationId xmlns:a16="http://schemas.microsoft.com/office/drawing/2014/main" id="{00000000-0008-0000-0300-000052010000}"/>
              </a:ext>
            </a:extLst>
          </xdr:cNvPr>
          <xdr:cNvSpPr/>
        </xdr:nvSpPr>
        <xdr:spPr>
          <a:xfrm>
            <a:off x="3333540" y="6095791"/>
            <a:ext cx="72000" cy="73269"/>
          </a:xfrm>
          <a:prstGeom prst="rect">
            <a:avLst/>
          </a:prstGeom>
          <a:solidFill>
            <a:schemeClr val="accent6"/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 editAs="oneCell">
    <xdr:from>
      <xdr:col>8</xdr:col>
      <xdr:colOff>289842</xdr:colOff>
      <xdr:row>14</xdr:row>
      <xdr:rowOff>471861</xdr:rowOff>
    </xdr:from>
    <xdr:to>
      <xdr:col>9</xdr:col>
      <xdr:colOff>96220</xdr:colOff>
      <xdr:row>15</xdr:row>
      <xdr:rowOff>295645</xdr:rowOff>
    </xdr:to>
    <xdr:sp macro="" textlink="">
      <xdr:nvSpPr>
        <xdr:cNvPr id="351" name="正方形/長方形 350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SpPr/>
      </xdr:nvSpPr>
      <xdr:spPr>
        <a:xfrm>
          <a:off x="3967320" y="6244839"/>
          <a:ext cx="286770" cy="304176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2</a:t>
          </a:r>
          <a:endParaRPr lang="ja-JP" altLang="en-US" sz="900"/>
        </a:p>
      </xdr:txBody>
    </xdr:sp>
    <xdr:clientData fLocksWithSheet="0"/>
  </xdr:twoCellAnchor>
  <xdr:twoCellAnchor editAs="oneCell">
    <xdr:from>
      <xdr:col>5</xdr:col>
      <xdr:colOff>436380</xdr:colOff>
      <xdr:row>14</xdr:row>
      <xdr:rowOff>463580</xdr:rowOff>
    </xdr:from>
    <xdr:to>
      <xdr:col>6</xdr:col>
      <xdr:colOff>242758</xdr:colOff>
      <xdr:row>15</xdr:row>
      <xdr:rowOff>287364</xdr:rowOff>
    </xdr:to>
    <xdr:sp macro="" textlink="">
      <xdr:nvSpPr>
        <xdr:cNvPr id="353" name="正方形/長方形 352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SpPr/>
      </xdr:nvSpPr>
      <xdr:spPr>
        <a:xfrm>
          <a:off x="2672684" y="6236558"/>
          <a:ext cx="286770" cy="304176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4</a:t>
          </a:r>
          <a:endParaRPr lang="ja-JP" altLang="en-US" sz="900"/>
        </a:p>
      </xdr:txBody>
    </xdr:sp>
    <xdr:clientData fLocksWithSheet="0"/>
  </xdr:twoCellAnchor>
  <xdr:twoCellAnchor editAs="oneCell">
    <xdr:from>
      <xdr:col>7</xdr:col>
      <xdr:colOff>296213</xdr:colOff>
      <xdr:row>12</xdr:row>
      <xdr:rowOff>457208</xdr:rowOff>
    </xdr:from>
    <xdr:to>
      <xdr:col>8</xdr:col>
      <xdr:colOff>102591</xdr:colOff>
      <xdr:row>13</xdr:row>
      <xdr:rowOff>280993</xdr:rowOff>
    </xdr:to>
    <xdr:sp macro="" textlink="">
      <xdr:nvSpPr>
        <xdr:cNvPr id="360" name="正方形/長方形 359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SpPr/>
      </xdr:nvSpPr>
      <xdr:spPr>
        <a:xfrm>
          <a:off x="3493300" y="5269404"/>
          <a:ext cx="286769" cy="304176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7</a:t>
          </a:r>
          <a:endParaRPr lang="ja-JP" altLang="en-US" sz="900"/>
        </a:p>
      </xdr:txBody>
    </xdr:sp>
    <xdr:clientData fLocksWithSheet="0"/>
  </xdr:twoCellAnchor>
  <xdr:twoCellAnchor editAs="oneCell">
    <xdr:from>
      <xdr:col>6</xdr:col>
      <xdr:colOff>252251</xdr:colOff>
      <xdr:row>13</xdr:row>
      <xdr:rowOff>17593</xdr:rowOff>
    </xdr:from>
    <xdr:to>
      <xdr:col>7</xdr:col>
      <xdr:colOff>100262</xdr:colOff>
      <xdr:row>13</xdr:row>
      <xdr:rowOff>317628</xdr:rowOff>
    </xdr:to>
    <xdr:sp macro="" textlink="">
      <xdr:nvSpPr>
        <xdr:cNvPr id="361" name="正方形/長方形 360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SpPr/>
      </xdr:nvSpPr>
      <xdr:spPr>
        <a:xfrm>
          <a:off x="2968947" y="5310180"/>
          <a:ext cx="328402" cy="300035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12</a:t>
          </a:r>
          <a:endParaRPr lang="ja-JP" altLang="en-US" sz="900"/>
        </a:p>
      </xdr:txBody>
    </xdr:sp>
    <xdr:clientData fLocksWithSheet="0"/>
  </xdr:twoCellAnchor>
  <xdr:twoCellAnchor editAs="oneCell">
    <xdr:from>
      <xdr:col>2</xdr:col>
      <xdr:colOff>420771</xdr:colOff>
      <xdr:row>12</xdr:row>
      <xdr:rowOff>449883</xdr:rowOff>
    </xdr:from>
    <xdr:to>
      <xdr:col>3</xdr:col>
      <xdr:colOff>268521</xdr:colOff>
      <xdr:row>13</xdr:row>
      <xdr:rowOff>273668</xdr:rowOff>
    </xdr:to>
    <xdr:sp macro="" textlink="">
      <xdr:nvSpPr>
        <xdr:cNvPr id="362" name="正方形/長方形 361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SpPr/>
      </xdr:nvSpPr>
      <xdr:spPr>
        <a:xfrm>
          <a:off x="1215901" y="5262079"/>
          <a:ext cx="328142" cy="304176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15</a:t>
          </a:r>
          <a:endParaRPr lang="ja-JP" altLang="en-US" sz="900"/>
        </a:p>
      </xdr:txBody>
    </xdr:sp>
    <xdr:clientData fLocksWithSheet="0"/>
  </xdr:twoCellAnchor>
  <xdr:twoCellAnchor editAs="oneCell">
    <xdr:from>
      <xdr:col>3</xdr:col>
      <xdr:colOff>238554</xdr:colOff>
      <xdr:row>14</xdr:row>
      <xdr:rowOff>1031</xdr:rowOff>
    </xdr:from>
    <xdr:to>
      <xdr:col>4</xdr:col>
      <xdr:colOff>86304</xdr:colOff>
      <xdr:row>14</xdr:row>
      <xdr:rowOff>301066</xdr:rowOff>
    </xdr:to>
    <xdr:sp macro="" textlink="">
      <xdr:nvSpPr>
        <xdr:cNvPr id="363" name="正方形/長方形 362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SpPr/>
      </xdr:nvSpPr>
      <xdr:spPr>
        <a:xfrm>
          <a:off x="1514076" y="5774009"/>
          <a:ext cx="328141" cy="300035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16</a:t>
          </a:r>
          <a:endParaRPr lang="ja-JP" altLang="en-US" sz="900"/>
        </a:p>
      </xdr:txBody>
    </xdr:sp>
    <xdr:clientData fLocksWithSheet="0"/>
  </xdr:twoCellAnchor>
  <xdr:twoCellAnchor editAs="oneCell">
    <xdr:from>
      <xdr:col>1</xdr:col>
      <xdr:colOff>421727</xdr:colOff>
      <xdr:row>14</xdr:row>
      <xdr:rowOff>8358</xdr:rowOff>
    </xdr:from>
    <xdr:to>
      <xdr:col>2</xdr:col>
      <xdr:colOff>269477</xdr:colOff>
      <xdr:row>14</xdr:row>
      <xdr:rowOff>308393</xdr:rowOff>
    </xdr:to>
    <xdr:sp macro="" textlink="">
      <xdr:nvSpPr>
        <xdr:cNvPr id="364" name="正方形/長方形 363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SpPr/>
      </xdr:nvSpPr>
      <xdr:spPr>
        <a:xfrm>
          <a:off x="736466" y="5781336"/>
          <a:ext cx="328141" cy="300035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17</a:t>
          </a:r>
          <a:endParaRPr lang="ja-JP" altLang="en-US" sz="900"/>
        </a:p>
      </xdr:txBody>
    </xdr:sp>
    <xdr:clientData fLocksWithSheet="0"/>
  </xdr:twoCellAnchor>
  <xdr:twoCellAnchor editAs="oneCell">
    <xdr:from>
      <xdr:col>1</xdr:col>
      <xdr:colOff>420771</xdr:colOff>
      <xdr:row>12</xdr:row>
      <xdr:rowOff>479191</xdr:rowOff>
    </xdr:from>
    <xdr:to>
      <xdr:col>2</xdr:col>
      <xdr:colOff>268521</xdr:colOff>
      <xdr:row>13</xdr:row>
      <xdr:rowOff>302976</xdr:rowOff>
    </xdr:to>
    <xdr:sp macro="" textlink="">
      <xdr:nvSpPr>
        <xdr:cNvPr id="365" name="正方形/長方形 364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SpPr/>
      </xdr:nvSpPr>
      <xdr:spPr>
        <a:xfrm>
          <a:off x="735510" y="5291387"/>
          <a:ext cx="328141" cy="304176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18</a:t>
          </a:r>
          <a:endParaRPr lang="ja-JP" altLang="en-US" sz="900"/>
        </a:p>
      </xdr:txBody>
    </xdr:sp>
    <xdr:clientData fLocksWithSheet="0"/>
  </xdr:twoCellAnchor>
  <xdr:twoCellAnchor editAs="oneCell">
    <xdr:from>
      <xdr:col>1</xdr:col>
      <xdr:colOff>412488</xdr:colOff>
      <xdr:row>10</xdr:row>
      <xdr:rowOff>474095</xdr:rowOff>
    </xdr:from>
    <xdr:to>
      <xdr:col>2</xdr:col>
      <xdr:colOff>260238</xdr:colOff>
      <xdr:row>11</xdr:row>
      <xdr:rowOff>293739</xdr:rowOff>
    </xdr:to>
    <xdr:sp macro="" textlink="">
      <xdr:nvSpPr>
        <xdr:cNvPr id="366" name="正方形/長方形 365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SpPr/>
      </xdr:nvSpPr>
      <xdr:spPr>
        <a:xfrm>
          <a:off x="727227" y="4325508"/>
          <a:ext cx="328141" cy="300035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20</a:t>
          </a:r>
          <a:endParaRPr lang="ja-JP" altLang="en-US" sz="900"/>
        </a:p>
      </xdr:txBody>
    </xdr:sp>
    <xdr:clientData/>
  </xdr:twoCellAnchor>
  <xdr:twoCellAnchor editAs="oneCell">
    <xdr:from>
      <xdr:col>1</xdr:col>
      <xdr:colOff>398791</xdr:colOff>
      <xdr:row>8</xdr:row>
      <xdr:rowOff>462628</xdr:rowOff>
    </xdr:from>
    <xdr:to>
      <xdr:col>2</xdr:col>
      <xdr:colOff>246541</xdr:colOff>
      <xdr:row>9</xdr:row>
      <xdr:rowOff>286412</xdr:rowOff>
    </xdr:to>
    <xdr:sp macro="" textlink="">
      <xdr:nvSpPr>
        <xdr:cNvPr id="367" name="正方形/長方形 366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SpPr/>
      </xdr:nvSpPr>
      <xdr:spPr>
        <a:xfrm>
          <a:off x="713530" y="3353258"/>
          <a:ext cx="328141" cy="304176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22</a:t>
          </a:r>
          <a:endParaRPr lang="ja-JP" altLang="en-US" sz="900"/>
        </a:p>
      </xdr:txBody>
    </xdr:sp>
    <xdr:clientData/>
  </xdr:twoCellAnchor>
  <xdr:twoCellAnchor editAs="oneCell">
    <xdr:from>
      <xdr:col>1</xdr:col>
      <xdr:colOff>420772</xdr:colOff>
      <xdr:row>7</xdr:row>
      <xdr:rowOff>440647</xdr:rowOff>
    </xdr:from>
    <xdr:to>
      <xdr:col>2</xdr:col>
      <xdr:colOff>268522</xdr:colOff>
      <xdr:row>8</xdr:row>
      <xdr:rowOff>264433</xdr:rowOff>
    </xdr:to>
    <xdr:sp macro="" textlink="">
      <xdr:nvSpPr>
        <xdr:cNvPr id="368" name="正方形/長方形 367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SpPr/>
      </xdr:nvSpPr>
      <xdr:spPr>
        <a:xfrm>
          <a:off x="735511" y="2850886"/>
          <a:ext cx="328141" cy="304177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23</a:t>
          </a:r>
          <a:endParaRPr lang="ja-JP" altLang="en-US" sz="900"/>
        </a:p>
      </xdr:txBody>
    </xdr:sp>
    <xdr:clientData/>
  </xdr:twoCellAnchor>
  <xdr:twoCellAnchor editAs="oneCell">
    <xdr:from>
      <xdr:col>3</xdr:col>
      <xdr:colOff>222945</xdr:colOff>
      <xdr:row>7</xdr:row>
      <xdr:rowOff>470910</xdr:rowOff>
    </xdr:from>
    <xdr:to>
      <xdr:col>4</xdr:col>
      <xdr:colOff>70695</xdr:colOff>
      <xdr:row>8</xdr:row>
      <xdr:rowOff>294696</xdr:rowOff>
    </xdr:to>
    <xdr:sp macro="" textlink="">
      <xdr:nvSpPr>
        <xdr:cNvPr id="369" name="正方形/長方形 368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SpPr/>
      </xdr:nvSpPr>
      <xdr:spPr>
        <a:xfrm>
          <a:off x="1498467" y="2881149"/>
          <a:ext cx="328141" cy="304177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24</a:t>
          </a:r>
          <a:endParaRPr lang="ja-JP" altLang="en-US" sz="900"/>
        </a:p>
      </xdr:txBody>
    </xdr:sp>
    <xdr:clientData/>
  </xdr:twoCellAnchor>
  <xdr:twoCellAnchor editAs="oneCell">
    <xdr:from>
      <xdr:col>2</xdr:col>
      <xdr:colOff>419816</xdr:colOff>
      <xdr:row>11</xdr:row>
      <xdr:rowOff>1031</xdr:rowOff>
    </xdr:from>
    <xdr:to>
      <xdr:col>3</xdr:col>
      <xdr:colOff>267566</xdr:colOff>
      <xdr:row>11</xdr:row>
      <xdr:rowOff>301066</xdr:rowOff>
    </xdr:to>
    <xdr:sp macro="" textlink="">
      <xdr:nvSpPr>
        <xdr:cNvPr id="370" name="正方形/長方形 369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SpPr/>
      </xdr:nvSpPr>
      <xdr:spPr>
        <a:xfrm>
          <a:off x="1214946" y="4332835"/>
          <a:ext cx="328142" cy="300035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27</a:t>
          </a:r>
          <a:endParaRPr lang="ja-JP" altLang="en-US" sz="900"/>
        </a:p>
      </xdr:txBody>
    </xdr:sp>
    <xdr:clientData/>
  </xdr:twoCellAnchor>
  <xdr:twoCellAnchor editAs="oneCell">
    <xdr:from>
      <xdr:col>5</xdr:col>
      <xdr:colOff>229317</xdr:colOff>
      <xdr:row>10</xdr:row>
      <xdr:rowOff>433319</xdr:rowOff>
    </xdr:from>
    <xdr:to>
      <xdr:col>6</xdr:col>
      <xdr:colOff>77067</xdr:colOff>
      <xdr:row>11</xdr:row>
      <xdr:rowOff>257105</xdr:rowOff>
    </xdr:to>
    <xdr:sp macro="" textlink="">
      <xdr:nvSpPr>
        <xdr:cNvPr id="371" name="正方形/長方形 370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SpPr/>
      </xdr:nvSpPr>
      <xdr:spPr>
        <a:xfrm>
          <a:off x="2465621" y="4284732"/>
          <a:ext cx="328142" cy="304177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29</a:t>
          </a:r>
          <a:endParaRPr lang="ja-JP" altLang="en-US" sz="900"/>
        </a:p>
      </xdr:txBody>
    </xdr:sp>
    <xdr:clientData/>
  </xdr:twoCellAnchor>
  <xdr:twoCellAnchor editAs="oneCell">
    <xdr:from>
      <xdr:col>5</xdr:col>
      <xdr:colOff>221990</xdr:colOff>
      <xdr:row>9</xdr:row>
      <xdr:rowOff>447972</xdr:rowOff>
    </xdr:from>
    <xdr:to>
      <xdr:col>6</xdr:col>
      <xdr:colOff>50334</xdr:colOff>
      <xdr:row>10</xdr:row>
      <xdr:rowOff>271757</xdr:rowOff>
    </xdr:to>
    <xdr:sp macro="" textlink="">
      <xdr:nvSpPr>
        <xdr:cNvPr id="372" name="正方形/長方形 371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SpPr/>
      </xdr:nvSpPr>
      <xdr:spPr>
        <a:xfrm>
          <a:off x="2458294" y="3818994"/>
          <a:ext cx="308736" cy="304176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30</a:t>
          </a:r>
          <a:endParaRPr lang="ja-JP" altLang="en-US" sz="900"/>
        </a:p>
      </xdr:txBody>
    </xdr:sp>
    <xdr:clientData/>
  </xdr:twoCellAnchor>
  <xdr:twoCellAnchor editAs="oneCell">
    <xdr:from>
      <xdr:col>3</xdr:col>
      <xdr:colOff>419817</xdr:colOff>
      <xdr:row>9</xdr:row>
      <xdr:rowOff>440645</xdr:rowOff>
    </xdr:from>
    <xdr:to>
      <xdr:col>4</xdr:col>
      <xdr:colOff>267567</xdr:colOff>
      <xdr:row>10</xdr:row>
      <xdr:rowOff>264430</xdr:rowOff>
    </xdr:to>
    <xdr:sp macro="" textlink="">
      <xdr:nvSpPr>
        <xdr:cNvPr id="373" name="正方形/長方形 372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SpPr/>
      </xdr:nvSpPr>
      <xdr:spPr>
        <a:xfrm>
          <a:off x="1695339" y="3811667"/>
          <a:ext cx="328141" cy="304176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31</a:t>
          </a:r>
          <a:endParaRPr lang="ja-JP" altLang="en-US" sz="900"/>
        </a:p>
      </xdr:txBody>
    </xdr:sp>
    <xdr:clientData/>
  </xdr:twoCellAnchor>
  <xdr:twoCellAnchor editAs="oneCell">
    <xdr:from>
      <xdr:col>5</xdr:col>
      <xdr:colOff>252254</xdr:colOff>
      <xdr:row>8</xdr:row>
      <xdr:rowOff>455300</xdr:rowOff>
    </xdr:from>
    <xdr:to>
      <xdr:col>6</xdr:col>
      <xdr:colOff>100004</xdr:colOff>
      <xdr:row>9</xdr:row>
      <xdr:rowOff>279084</xdr:rowOff>
    </xdr:to>
    <xdr:sp macro="" textlink="">
      <xdr:nvSpPr>
        <xdr:cNvPr id="374" name="正方形/長方形 373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SpPr/>
      </xdr:nvSpPr>
      <xdr:spPr>
        <a:xfrm>
          <a:off x="2488558" y="3345930"/>
          <a:ext cx="328142" cy="304176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33</a:t>
          </a:r>
          <a:endParaRPr lang="ja-JP" altLang="en-US" sz="900"/>
        </a:p>
      </xdr:txBody>
    </xdr:sp>
    <xdr:clientData/>
  </xdr:twoCellAnchor>
  <xdr:twoCellAnchor editAs="oneCell">
    <xdr:from>
      <xdr:col>5</xdr:col>
      <xdr:colOff>244927</xdr:colOff>
      <xdr:row>7</xdr:row>
      <xdr:rowOff>440646</xdr:rowOff>
    </xdr:from>
    <xdr:to>
      <xdr:col>6</xdr:col>
      <xdr:colOff>92677</xdr:colOff>
      <xdr:row>8</xdr:row>
      <xdr:rowOff>264432</xdr:rowOff>
    </xdr:to>
    <xdr:sp macro="" textlink="">
      <xdr:nvSpPr>
        <xdr:cNvPr id="376" name="正方形/長方形 375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SpPr/>
      </xdr:nvSpPr>
      <xdr:spPr>
        <a:xfrm>
          <a:off x="2481231" y="2850885"/>
          <a:ext cx="328142" cy="304177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34</a:t>
          </a:r>
          <a:endParaRPr lang="ja-JP" altLang="en-US" sz="900"/>
        </a:p>
      </xdr:txBody>
    </xdr:sp>
    <xdr:clientData/>
  </xdr:twoCellAnchor>
  <xdr:twoCellAnchor>
    <xdr:from>
      <xdr:col>13</xdr:col>
      <xdr:colOff>80597</xdr:colOff>
      <xdr:row>5</xdr:row>
      <xdr:rowOff>359019</xdr:rowOff>
    </xdr:from>
    <xdr:to>
      <xdr:col>13</xdr:col>
      <xdr:colOff>395654</xdr:colOff>
      <xdr:row>5</xdr:row>
      <xdr:rowOff>366346</xdr:rowOff>
    </xdr:to>
    <xdr:cxnSp macro="">
      <xdr:nvCxnSpPr>
        <xdr:cNvPr id="378" name="直線矢印コネクタ 377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CxnSpPr/>
      </xdr:nvCxnSpPr>
      <xdr:spPr>
        <a:xfrm flipH="1">
          <a:off x="5693020" y="1787769"/>
          <a:ext cx="315057" cy="732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337039</xdr:colOff>
      <xdr:row>8</xdr:row>
      <xdr:rowOff>81753</xdr:rowOff>
    </xdr:from>
    <xdr:to>
      <xdr:col>13</xdr:col>
      <xdr:colOff>337039</xdr:colOff>
      <xdr:row>8</xdr:row>
      <xdr:rowOff>352850</xdr:rowOff>
    </xdr:to>
    <xdr:cxnSp macro="">
      <xdr:nvCxnSpPr>
        <xdr:cNvPr id="381" name="直線矢印コネクタ 380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CxnSpPr/>
      </xdr:nvCxnSpPr>
      <xdr:spPr>
        <a:xfrm flipV="1">
          <a:off x="5985778" y="2972383"/>
          <a:ext cx="0" cy="27109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99391</xdr:colOff>
      <xdr:row>10</xdr:row>
      <xdr:rowOff>140804</xdr:rowOff>
    </xdr:from>
    <xdr:to>
      <xdr:col>13</xdr:col>
      <xdr:colOff>355062</xdr:colOff>
      <xdr:row>10</xdr:row>
      <xdr:rowOff>361383</xdr:rowOff>
    </xdr:to>
    <xdr:cxnSp macro="">
      <xdr:nvCxnSpPr>
        <xdr:cNvPr id="394" name="コネクタ: カギ線 393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CxnSpPr/>
      </xdr:nvCxnSpPr>
      <xdr:spPr>
        <a:xfrm rot="10800000" flipV="1">
          <a:off x="5748130" y="3992217"/>
          <a:ext cx="255671" cy="220579"/>
        </a:xfrm>
        <a:prstGeom prst="bentConnector3">
          <a:avLst>
            <a:gd name="adj1" fmla="val -98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70187</xdr:colOff>
      <xdr:row>7</xdr:row>
      <xdr:rowOff>55146</xdr:rowOff>
    </xdr:from>
    <xdr:to>
      <xdr:col>13</xdr:col>
      <xdr:colOff>330867</xdr:colOff>
      <xdr:row>7</xdr:row>
      <xdr:rowOff>350922</xdr:rowOff>
    </xdr:to>
    <xdr:cxnSp macro="">
      <xdr:nvCxnSpPr>
        <xdr:cNvPr id="398" name="コネクタ: カギ線 397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CxnSpPr/>
      </xdr:nvCxnSpPr>
      <xdr:spPr>
        <a:xfrm rot="5400000" flipH="1" flipV="1">
          <a:off x="5667376" y="2453944"/>
          <a:ext cx="295776" cy="260680"/>
        </a:xfrm>
        <a:prstGeom prst="bentConnector3">
          <a:avLst>
            <a:gd name="adj1" fmla="val -84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75585</xdr:colOff>
      <xdr:row>13</xdr:row>
      <xdr:rowOff>123401</xdr:rowOff>
    </xdr:from>
    <xdr:to>
      <xdr:col>13</xdr:col>
      <xdr:colOff>390642</xdr:colOff>
      <xdr:row>13</xdr:row>
      <xdr:rowOff>130728</xdr:rowOff>
    </xdr:to>
    <xdr:cxnSp macro="">
      <xdr:nvCxnSpPr>
        <xdr:cNvPr id="403" name="直線矢印コネクタ 402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CxnSpPr/>
      </xdr:nvCxnSpPr>
      <xdr:spPr>
        <a:xfrm flipH="1">
          <a:off x="5690322" y="5362151"/>
          <a:ext cx="315057" cy="732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105276</xdr:colOff>
      <xdr:row>16</xdr:row>
      <xdr:rowOff>110290</xdr:rowOff>
    </xdr:from>
    <xdr:to>
      <xdr:col>13</xdr:col>
      <xdr:colOff>110289</xdr:colOff>
      <xdr:row>16</xdr:row>
      <xdr:rowOff>406066</xdr:rowOff>
    </xdr:to>
    <xdr:cxnSp macro="">
      <xdr:nvCxnSpPr>
        <xdr:cNvPr id="404" name="直線矢印コネクタ 403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CxnSpPr/>
      </xdr:nvCxnSpPr>
      <xdr:spPr>
        <a:xfrm>
          <a:off x="5720013" y="6777790"/>
          <a:ext cx="5013" cy="295776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100263</xdr:colOff>
      <xdr:row>19</xdr:row>
      <xdr:rowOff>150396</xdr:rowOff>
    </xdr:from>
    <xdr:to>
      <xdr:col>13</xdr:col>
      <xdr:colOff>416092</xdr:colOff>
      <xdr:row>19</xdr:row>
      <xdr:rowOff>386014</xdr:rowOff>
    </xdr:to>
    <xdr:cxnSp macro="">
      <xdr:nvCxnSpPr>
        <xdr:cNvPr id="407" name="コネクタ: カギ線 406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CxnSpPr/>
      </xdr:nvCxnSpPr>
      <xdr:spPr>
        <a:xfrm flipV="1">
          <a:off x="5715000" y="8246646"/>
          <a:ext cx="315829" cy="235618"/>
        </a:xfrm>
        <a:prstGeom prst="bentConnector3">
          <a:avLst>
            <a:gd name="adj1" fmla="val 2381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1051</xdr:colOff>
      <xdr:row>14</xdr:row>
      <xdr:rowOff>1051</xdr:rowOff>
    </xdr:from>
    <xdr:to>
      <xdr:col>9</xdr:col>
      <xdr:colOff>0</xdr:colOff>
      <xdr:row>15</xdr:row>
      <xdr:rowOff>0</xdr:rowOff>
    </xdr:to>
    <xdr:grpSp>
      <xdr:nvGrpSpPr>
        <xdr:cNvPr id="424" name="グループ化 423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GrpSpPr/>
      </xdr:nvGrpSpPr>
      <xdr:grpSpPr>
        <a:xfrm>
          <a:off x="3649126" y="5687476"/>
          <a:ext cx="475199" cy="475199"/>
          <a:chOff x="3680382" y="5776901"/>
          <a:chExt cx="479341" cy="479341"/>
        </a:xfrm>
      </xdr:grpSpPr>
      <xdr:sp macro="" textlink="">
        <xdr:nvSpPr>
          <xdr:cNvPr id="417" name="正方形/長方形 416">
            <a:extLst>
              <a:ext uri="{FF2B5EF4-FFF2-40B4-BE49-F238E27FC236}">
                <a16:creationId xmlns:a16="http://schemas.microsoft.com/office/drawing/2014/main" id="{00000000-0008-0000-0300-0000A1010000}"/>
              </a:ext>
            </a:extLst>
          </xdr:cNvPr>
          <xdr:cNvSpPr/>
        </xdr:nvSpPr>
        <xdr:spPr>
          <a:xfrm>
            <a:off x="3680382" y="5776901"/>
            <a:ext cx="479341" cy="479341"/>
          </a:xfrm>
          <a:prstGeom prst="rect">
            <a:avLst/>
          </a:prstGeom>
          <a:ln w="6350">
            <a:solidFill>
              <a:schemeClr val="dk1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endParaRPr lang="ja-JP" altLang="en-US"/>
          </a:p>
        </xdr:txBody>
      </xdr:sp>
      <xdr:cxnSp macro="">
        <xdr:nvCxnSpPr>
          <xdr:cNvPr id="418" name="直線コネクタ 417">
            <a:extLst>
              <a:ext uri="{FF2B5EF4-FFF2-40B4-BE49-F238E27FC236}">
                <a16:creationId xmlns:a16="http://schemas.microsoft.com/office/drawing/2014/main" id="{00000000-0008-0000-0300-0000A2010000}"/>
              </a:ext>
            </a:extLst>
          </xdr:cNvPr>
          <xdr:cNvCxnSpPr>
            <a:endCxn id="417" idx="2"/>
          </xdr:cNvCxnSpPr>
        </xdr:nvCxnSpPr>
        <xdr:spPr>
          <a:xfrm>
            <a:off x="3917674" y="6021457"/>
            <a:ext cx="2379" cy="234785"/>
          </a:xfrm>
          <a:prstGeom prst="line">
            <a:avLst/>
          </a:prstGeom>
          <a:ln w="38100">
            <a:solidFill>
              <a:schemeClr val="dk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19" name="直線コネクタ 418">
            <a:extLst>
              <a:ext uri="{FF2B5EF4-FFF2-40B4-BE49-F238E27FC236}">
                <a16:creationId xmlns:a16="http://schemas.microsoft.com/office/drawing/2014/main" id="{00000000-0008-0000-0300-0000A3010000}"/>
              </a:ext>
            </a:extLst>
          </xdr:cNvPr>
          <xdr:cNvCxnSpPr/>
        </xdr:nvCxnSpPr>
        <xdr:spPr>
          <a:xfrm>
            <a:off x="3810000" y="6021457"/>
            <a:ext cx="207065" cy="0"/>
          </a:xfrm>
          <a:prstGeom prst="line">
            <a:avLst/>
          </a:prstGeom>
          <a:ln w="38100">
            <a:solidFill>
              <a:schemeClr val="dk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8</xdr:col>
      <xdr:colOff>285893</xdr:colOff>
      <xdr:row>13</xdr:row>
      <xdr:rowOff>452302</xdr:rowOff>
    </xdr:from>
    <xdr:to>
      <xdr:col>9</xdr:col>
      <xdr:colOff>92271</xdr:colOff>
      <xdr:row>14</xdr:row>
      <xdr:rowOff>276088</xdr:rowOff>
    </xdr:to>
    <xdr:sp macro="" textlink="">
      <xdr:nvSpPr>
        <xdr:cNvPr id="345" name="正方形/長方形 344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SpPr/>
      </xdr:nvSpPr>
      <xdr:spPr>
        <a:xfrm>
          <a:off x="3963371" y="5744889"/>
          <a:ext cx="286770" cy="304177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US" altLang="ja-JP" sz="900"/>
            <a:t>1</a:t>
          </a:r>
          <a:endParaRPr lang="ja-JP" altLang="en-US" sz="900"/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5</xdr:col>
          <xdr:colOff>0</xdr:colOff>
          <xdr:row>4</xdr:row>
          <xdr:rowOff>9525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レベル１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9525</xdr:rowOff>
        </xdr:from>
        <xdr:to>
          <xdr:col>7</xdr:col>
          <xdr:colOff>0</xdr:colOff>
          <xdr:row>4</xdr:row>
          <xdr:rowOff>9525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レベル２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7</xdr:row>
          <xdr:rowOff>476250</xdr:rowOff>
        </xdr:from>
        <xdr:to>
          <xdr:col>17</xdr:col>
          <xdr:colOff>0</xdr:colOff>
          <xdr:row>9</xdr:row>
          <xdr:rowOff>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9</xdr:row>
          <xdr:rowOff>0</xdr:rowOff>
        </xdr:from>
        <xdr:to>
          <xdr:col>17</xdr:col>
          <xdr:colOff>0</xdr:colOff>
          <xdr:row>10</xdr:row>
          <xdr:rowOff>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11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12</xdr:row>
          <xdr:rowOff>0</xdr:rowOff>
        </xdr:from>
        <xdr:to>
          <xdr:col>17</xdr:col>
          <xdr:colOff>0</xdr:colOff>
          <xdr:row>13</xdr:row>
          <xdr:rowOff>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14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14</xdr:row>
          <xdr:rowOff>476250</xdr:rowOff>
        </xdr:from>
        <xdr:to>
          <xdr:col>17</xdr:col>
          <xdr:colOff>0</xdr:colOff>
          <xdr:row>16</xdr:row>
          <xdr:rowOff>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17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18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19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76200</xdr:colOff>
          <xdr:row>5</xdr:row>
          <xdr:rowOff>0</xdr:rowOff>
        </xdr:from>
        <xdr:to>
          <xdr:col>20</xdr:col>
          <xdr:colOff>381000</xdr:colOff>
          <xdr:row>6</xdr:row>
          <xdr:rowOff>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76200</xdr:colOff>
          <xdr:row>6</xdr:row>
          <xdr:rowOff>0</xdr:rowOff>
        </xdr:from>
        <xdr:to>
          <xdr:col>22</xdr:col>
          <xdr:colOff>0</xdr:colOff>
          <xdr:row>7</xdr:row>
          <xdr:rowOff>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6</xdr:row>
          <xdr:rowOff>0</xdr:rowOff>
        </xdr:from>
        <xdr:to>
          <xdr:col>23</xdr:col>
          <xdr:colOff>0</xdr:colOff>
          <xdr:row>7</xdr:row>
          <xdr:rowOff>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76200</xdr:colOff>
          <xdr:row>6</xdr:row>
          <xdr:rowOff>0</xdr:rowOff>
        </xdr:from>
        <xdr:to>
          <xdr:col>24</xdr:col>
          <xdr:colOff>0</xdr:colOff>
          <xdr:row>7</xdr:row>
          <xdr:rowOff>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76200</xdr:colOff>
          <xdr:row>6</xdr:row>
          <xdr:rowOff>0</xdr:rowOff>
        </xdr:from>
        <xdr:to>
          <xdr:col>25</xdr:col>
          <xdr:colOff>0</xdr:colOff>
          <xdr:row>7</xdr:row>
          <xdr:rowOff>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76200</xdr:colOff>
          <xdr:row>5</xdr:row>
          <xdr:rowOff>0</xdr:rowOff>
        </xdr:from>
        <xdr:to>
          <xdr:col>25</xdr:col>
          <xdr:colOff>0</xdr:colOff>
          <xdr:row>6</xdr:row>
          <xdr:rowOff>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76200</xdr:colOff>
          <xdr:row>7</xdr:row>
          <xdr:rowOff>0</xdr:rowOff>
        </xdr:from>
        <xdr:to>
          <xdr:col>25</xdr:col>
          <xdr:colOff>0</xdr:colOff>
          <xdr:row>8</xdr:row>
          <xdr:rowOff>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76200</xdr:colOff>
          <xdr:row>7</xdr:row>
          <xdr:rowOff>0</xdr:rowOff>
        </xdr:from>
        <xdr:to>
          <xdr:col>24</xdr:col>
          <xdr:colOff>0</xdr:colOff>
          <xdr:row>8</xdr:row>
          <xdr:rowOff>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7</xdr:row>
          <xdr:rowOff>0</xdr:rowOff>
        </xdr:from>
        <xdr:to>
          <xdr:col>23</xdr:col>
          <xdr:colOff>0</xdr:colOff>
          <xdr:row>8</xdr:row>
          <xdr:rowOff>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76200</xdr:colOff>
          <xdr:row>7</xdr:row>
          <xdr:rowOff>0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76200</xdr:colOff>
          <xdr:row>7</xdr:row>
          <xdr:rowOff>0</xdr:rowOff>
        </xdr:from>
        <xdr:to>
          <xdr:col>21</xdr:col>
          <xdr:colOff>0</xdr:colOff>
          <xdr:row>8</xdr:row>
          <xdr:rowOff>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76200</xdr:colOff>
          <xdr:row>8</xdr:row>
          <xdr:rowOff>0</xdr:rowOff>
        </xdr:from>
        <xdr:to>
          <xdr:col>21</xdr:col>
          <xdr:colOff>0</xdr:colOff>
          <xdr:row>9</xdr:row>
          <xdr:rowOff>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76200</xdr:colOff>
          <xdr:row>8</xdr:row>
          <xdr:rowOff>0</xdr:rowOff>
        </xdr:from>
        <xdr:to>
          <xdr:col>22</xdr:col>
          <xdr:colOff>0</xdr:colOff>
          <xdr:row>9</xdr:row>
          <xdr:rowOff>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8</xdr:row>
          <xdr:rowOff>0</xdr:rowOff>
        </xdr:from>
        <xdr:to>
          <xdr:col>23</xdr:col>
          <xdr:colOff>0</xdr:colOff>
          <xdr:row>9</xdr:row>
          <xdr:rowOff>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76200</xdr:colOff>
          <xdr:row>8</xdr:row>
          <xdr:rowOff>0</xdr:rowOff>
        </xdr:from>
        <xdr:to>
          <xdr:col>24</xdr:col>
          <xdr:colOff>0</xdr:colOff>
          <xdr:row>9</xdr:row>
          <xdr:rowOff>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76200</xdr:colOff>
          <xdr:row>8</xdr:row>
          <xdr:rowOff>0</xdr:rowOff>
        </xdr:from>
        <xdr:to>
          <xdr:col>25</xdr:col>
          <xdr:colOff>0</xdr:colOff>
          <xdr:row>9</xdr:row>
          <xdr:rowOff>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295275</xdr:colOff>
          <xdr:row>14</xdr:row>
          <xdr:rowOff>9525</xdr:rowOff>
        </xdr:from>
        <xdr:to>
          <xdr:col>23</xdr:col>
          <xdr:colOff>180975</xdr:colOff>
          <xdr:row>15</xdr:row>
          <xdr:rowOff>9525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00080" mc:Ignorable="a14" a14:legacySpreadsheetColorIndex="2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10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00080" mc:Ignorable="a14" a14:legacySpreadsheetColorIndex="2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95250</xdr:colOff>
          <xdr:row>10</xdr:row>
          <xdr:rowOff>0</xdr:rowOff>
        </xdr:from>
        <xdr:to>
          <xdr:col>23</xdr:col>
          <xdr:colOff>0</xdr:colOff>
          <xdr:row>11</xdr:row>
          <xdr:rowOff>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00080" mc:Ignorable="a14" a14:legacySpreadsheetColorIndex="2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10</xdr:row>
          <xdr:rowOff>0</xdr:rowOff>
        </xdr:from>
        <xdr:to>
          <xdr:col>24</xdr:col>
          <xdr:colOff>0</xdr:colOff>
          <xdr:row>11</xdr:row>
          <xdr:rowOff>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00080" mc:Ignorable="a14" a14:legacySpreadsheetColorIndex="2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95250</xdr:colOff>
          <xdr:row>10</xdr:row>
          <xdr:rowOff>0</xdr:rowOff>
        </xdr:from>
        <xdr:to>
          <xdr:col>25</xdr:col>
          <xdr:colOff>0</xdr:colOff>
          <xdr:row>11</xdr:row>
          <xdr:rowOff>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00080" mc:Ignorable="a14" a14:legacySpreadsheetColorIndex="2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11</xdr:row>
          <xdr:rowOff>0</xdr:rowOff>
        </xdr:from>
        <xdr:to>
          <xdr:col>22</xdr:col>
          <xdr:colOff>0</xdr:colOff>
          <xdr:row>12</xdr:row>
          <xdr:rowOff>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00080" mc:Ignorable="a14" a14:legacySpreadsheetColorIndex="2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12</xdr:row>
          <xdr:rowOff>0</xdr:rowOff>
        </xdr:from>
        <xdr:to>
          <xdr:col>22</xdr:col>
          <xdr:colOff>0</xdr:colOff>
          <xdr:row>13</xdr:row>
          <xdr:rowOff>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00080" mc:Ignorable="a14" a14:legacySpreadsheetColorIndex="2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95250</xdr:colOff>
          <xdr:row>12</xdr:row>
          <xdr:rowOff>0</xdr:rowOff>
        </xdr:from>
        <xdr:to>
          <xdr:col>23</xdr:col>
          <xdr:colOff>0</xdr:colOff>
          <xdr:row>13</xdr:row>
          <xdr:rowOff>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00080" mc:Ignorable="a14" a14:legacySpreadsheetColorIndex="2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95250</xdr:colOff>
          <xdr:row>11</xdr:row>
          <xdr:rowOff>0</xdr:rowOff>
        </xdr:from>
        <xdr:to>
          <xdr:col>23</xdr:col>
          <xdr:colOff>0</xdr:colOff>
          <xdr:row>12</xdr:row>
          <xdr:rowOff>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00080" mc:Ignorable="a14" a14:legacySpreadsheetColorIndex="2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11</xdr:row>
          <xdr:rowOff>0</xdr:rowOff>
        </xdr:from>
        <xdr:to>
          <xdr:col>24</xdr:col>
          <xdr:colOff>0</xdr:colOff>
          <xdr:row>12</xdr:row>
          <xdr:rowOff>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00080" mc:Ignorable="a14" a14:legacySpreadsheetColorIndex="2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95250</xdr:colOff>
          <xdr:row>11</xdr:row>
          <xdr:rowOff>0</xdr:rowOff>
        </xdr:from>
        <xdr:to>
          <xdr:col>25</xdr:col>
          <xdr:colOff>0</xdr:colOff>
          <xdr:row>12</xdr:row>
          <xdr:rowOff>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00080" mc:Ignorable="a14" a14:legacySpreadsheetColorIndex="2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95250</xdr:colOff>
          <xdr:row>12</xdr:row>
          <xdr:rowOff>0</xdr:rowOff>
        </xdr:from>
        <xdr:to>
          <xdr:col>25</xdr:col>
          <xdr:colOff>0</xdr:colOff>
          <xdr:row>13</xdr:row>
          <xdr:rowOff>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00080" mc:Ignorable="a14" a14:legacySpreadsheetColorIndex="2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12</xdr:row>
          <xdr:rowOff>0</xdr:rowOff>
        </xdr:from>
        <xdr:to>
          <xdr:col>24</xdr:col>
          <xdr:colOff>0</xdr:colOff>
          <xdr:row>13</xdr:row>
          <xdr:rowOff>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800080" mc:Ignorable="a14" a14:legacySpreadsheetColorIndex="2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33</xdr:col>
      <xdr:colOff>66675</xdr:colOff>
      <xdr:row>7</xdr:row>
      <xdr:rowOff>19050</xdr:rowOff>
    </xdr:from>
    <xdr:to>
      <xdr:col>34</xdr:col>
      <xdr:colOff>495300</xdr:colOff>
      <xdr:row>8</xdr:row>
      <xdr:rowOff>19050</xdr:rowOff>
    </xdr:to>
    <xdr:sp macro="[0]!新記録用紙印刷WL" textlink="">
      <xdr:nvSpPr>
        <xdr:cNvPr id="346" name="AutoShape 4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SpPr>
          <a:spLocks noChangeArrowheads="1"/>
        </xdr:cNvSpPr>
      </xdr:nvSpPr>
      <xdr:spPr bwMode="auto">
        <a:xfrm>
          <a:off x="8048625" y="733425"/>
          <a:ext cx="1114425" cy="333375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差し込み印刷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257175</xdr:colOff>
          <xdr:row>12</xdr:row>
          <xdr:rowOff>152400</xdr:rowOff>
        </xdr:from>
        <xdr:to>
          <xdr:col>35</xdr:col>
          <xdr:colOff>419100</xdr:colOff>
          <xdr:row>13</xdr:row>
          <xdr:rowOff>114300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得点転記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257175</xdr:colOff>
          <xdr:row>14</xdr:row>
          <xdr:rowOff>152400</xdr:rowOff>
        </xdr:from>
        <xdr:to>
          <xdr:col>35</xdr:col>
          <xdr:colOff>419100</xdr:colOff>
          <xdr:row>15</xdr:row>
          <xdr:rowOff>114300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9" Type="http://schemas.openxmlformats.org/officeDocument/2006/relationships/ctrlProp" Target="../ctrlProps/ctrlProp84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66.xml"/><Relationship Id="rId34" Type="http://schemas.openxmlformats.org/officeDocument/2006/relationships/ctrlProp" Target="../ctrlProps/ctrlProp79.xml"/><Relationship Id="rId42" Type="http://schemas.openxmlformats.org/officeDocument/2006/relationships/ctrlProp" Target="../ctrlProps/ctrlProp87.xml"/><Relationship Id="rId47" Type="http://schemas.openxmlformats.org/officeDocument/2006/relationships/ctrlProp" Target="../ctrlProps/ctrlProp92.xml"/><Relationship Id="rId50" Type="http://schemas.openxmlformats.org/officeDocument/2006/relationships/ctrlProp" Target="../ctrlProps/ctrlProp95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33" Type="http://schemas.openxmlformats.org/officeDocument/2006/relationships/ctrlProp" Target="../ctrlProps/ctrlProp78.xml"/><Relationship Id="rId38" Type="http://schemas.openxmlformats.org/officeDocument/2006/relationships/ctrlProp" Target="../ctrlProps/ctrlProp83.xml"/><Relationship Id="rId46" Type="http://schemas.openxmlformats.org/officeDocument/2006/relationships/ctrlProp" Target="../ctrlProps/ctrlProp9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29" Type="http://schemas.openxmlformats.org/officeDocument/2006/relationships/ctrlProp" Target="../ctrlProps/ctrlProp74.xml"/><Relationship Id="rId41" Type="http://schemas.openxmlformats.org/officeDocument/2006/relationships/ctrlProp" Target="../ctrlProps/ctrlProp8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32" Type="http://schemas.openxmlformats.org/officeDocument/2006/relationships/ctrlProp" Target="../ctrlProps/ctrlProp77.xml"/><Relationship Id="rId37" Type="http://schemas.openxmlformats.org/officeDocument/2006/relationships/ctrlProp" Target="../ctrlProps/ctrlProp82.xml"/><Relationship Id="rId40" Type="http://schemas.openxmlformats.org/officeDocument/2006/relationships/ctrlProp" Target="../ctrlProps/ctrlProp85.xml"/><Relationship Id="rId45" Type="http://schemas.openxmlformats.org/officeDocument/2006/relationships/ctrlProp" Target="../ctrlProps/ctrlProp90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28" Type="http://schemas.openxmlformats.org/officeDocument/2006/relationships/ctrlProp" Target="../ctrlProps/ctrlProp73.xml"/><Relationship Id="rId36" Type="http://schemas.openxmlformats.org/officeDocument/2006/relationships/ctrlProp" Target="../ctrlProps/ctrlProp81.xml"/><Relationship Id="rId49" Type="http://schemas.openxmlformats.org/officeDocument/2006/relationships/ctrlProp" Target="../ctrlProps/ctrlProp94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31" Type="http://schemas.openxmlformats.org/officeDocument/2006/relationships/ctrlProp" Target="../ctrlProps/ctrlProp76.xml"/><Relationship Id="rId44" Type="http://schemas.openxmlformats.org/officeDocument/2006/relationships/ctrlProp" Target="../ctrlProps/ctrlProp89.xml"/><Relationship Id="rId52" Type="http://schemas.openxmlformats.org/officeDocument/2006/relationships/ctrlProp" Target="../ctrlProps/ctrlProp97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Relationship Id="rId30" Type="http://schemas.openxmlformats.org/officeDocument/2006/relationships/ctrlProp" Target="../ctrlProps/ctrlProp75.xml"/><Relationship Id="rId35" Type="http://schemas.openxmlformats.org/officeDocument/2006/relationships/ctrlProp" Target="../ctrlProps/ctrlProp80.xml"/><Relationship Id="rId43" Type="http://schemas.openxmlformats.org/officeDocument/2006/relationships/ctrlProp" Target="../ctrlProps/ctrlProp88.xml"/><Relationship Id="rId48" Type="http://schemas.openxmlformats.org/officeDocument/2006/relationships/ctrlProp" Target="../ctrlProps/ctrlProp93.xml"/><Relationship Id="rId8" Type="http://schemas.openxmlformats.org/officeDocument/2006/relationships/ctrlProp" Target="../ctrlProps/ctrlProp53.xml"/><Relationship Id="rId51" Type="http://schemas.openxmlformats.org/officeDocument/2006/relationships/ctrlProp" Target="../ctrlProps/ctrlProp9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2"/>
  <sheetViews>
    <sheetView zoomScaleNormal="100" workbookViewId="0">
      <selection activeCell="C20" sqref="C20"/>
    </sheetView>
  </sheetViews>
  <sheetFormatPr defaultRowHeight="13.5" x14ac:dyDescent="0.15"/>
  <cols>
    <col min="1" max="1" width="2.25" style="4" customWidth="1"/>
    <col min="2" max="2" width="4.625" style="4" customWidth="1"/>
    <col min="3" max="3" width="10.625" style="4" customWidth="1"/>
    <col min="4" max="5" width="30.625" style="4" customWidth="1"/>
    <col min="6" max="6" width="10.625" style="4" customWidth="1"/>
    <col min="7" max="7" width="7.125" style="4" bestFit="1" customWidth="1"/>
    <col min="8" max="16384" width="9" style="4"/>
  </cols>
  <sheetData>
    <row r="1" spans="1:9" ht="72" customHeight="1" x14ac:dyDescent="0.2">
      <c r="A1" s="3" t="s">
        <v>5</v>
      </c>
      <c r="B1" s="232" t="s">
        <v>138</v>
      </c>
      <c r="C1" s="46"/>
      <c r="D1" s="36"/>
      <c r="E1" s="36"/>
      <c r="F1" s="44" t="s">
        <v>56</v>
      </c>
    </row>
    <row r="2" spans="1:9" ht="17.25" customHeight="1" x14ac:dyDescent="0.2">
      <c r="A2" s="3"/>
      <c r="B2" s="3"/>
      <c r="C2" s="9"/>
      <c r="F2" s="45" t="s">
        <v>155</v>
      </c>
    </row>
    <row r="3" spans="1:9" ht="13.5" customHeight="1" thickBot="1" x14ac:dyDescent="0.2">
      <c r="B3" s="75"/>
      <c r="C3" s="76"/>
      <c r="D3" s="75"/>
      <c r="E3" s="75"/>
      <c r="F3" s="75"/>
    </row>
    <row r="4" spans="1:9" ht="15" customHeight="1" thickBot="1" x14ac:dyDescent="0.2">
      <c r="B4" s="77" t="s">
        <v>58</v>
      </c>
      <c r="C4" s="78" t="s">
        <v>57</v>
      </c>
      <c r="D4" s="78" t="s">
        <v>0</v>
      </c>
      <c r="E4" s="78" t="s">
        <v>63</v>
      </c>
      <c r="F4" s="87" t="s">
        <v>55</v>
      </c>
    </row>
    <row r="5" spans="1:9" ht="15" thickTop="1" thickBot="1" x14ac:dyDescent="0.2">
      <c r="B5" s="88">
        <v>1</v>
      </c>
      <c r="C5" s="89" t="s">
        <v>80</v>
      </c>
      <c r="D5" s="93" t="s">
        <v>158</v>
      </c>
      <c r="E5" s="93" t="s">
        <v>159</v>
      </c>
      <c r="F5" s="155"/>
    </row>
    <row r="6" spans="1:9" ht="13.5" customHeight="1" thickTop="1" thickBot="1" x14ac:dyDescent="0.2">
      <c r="B6" s="91">
        <v>2</v>
      </c>
      <c r="C6" s="92" t="s">
        <v>81</v>
      </c>
      <c r="D6" s="90" t="s">
        <v>156</v>
      </c>
      <c r="E6" s="90" t="s">
        <v>157</v>
      </c>
      <c r="F6" s="157"/>
    </row>
    <row r="7" spans="1:9" ht="13.5" customHeight="1" thickTop="1" thickBot="1" x14ac:dyDescent="0.2">
      <c r="B7" s="88">
        <v>3</v>
      </c>
      <c r="C7" s="89" t="s">
        <v>82</v>
      </c>
      <c r="D7" s="141" t="s">
        <v>170</v>
      </c>
      <c r="E7" s="141" t="s">
        <v>171</v>
      </c>
      <c r="F7" s="155"/>
      <c r="I7" s="10"/>
    </row>
    <row r="8" spans="1:9" ht="13.5" customHeight="1" x14ac:dyDescent="0.15">
      <c r="B8" s="84">
        <v>4</v>
      </c>
      <c r="C8" s="85" t="s">
        <v>73</v>
      </c>
      <c r="D8" s="86" t="s">
        <v>168</v>
      </c>
      <c r="E8" s="86" t="s">
        <v>169</v>
      </c>
      <c r="F8" s="156"/>
    </row>
    <row r="9" spans="1:9" ht="13.5" customHeight="1" x14ac:dyDescent="0.15">
      <c r="B9" s="84">
        <v>5</v>
      </c>
      <c r="C9" s="85" t="s">
        <v>74</v>
      </c>
      <c r="D9" s="86" t="s">
        <v>166</v>
      </c>
      <c r="E9" s="86" t="s">
        <v>167</v>
      </c>
      <c r="F9" s="156"/>
    </row>
    <row r="10" spans="1:9" ht="13.5" customHeight="1" x14ac:dyDescent="0.15">
      <c r="B10" s="84">
        <v>6</v>
      </c>
      <c r="C10" s="85" t="s">
        <v>75</v>
      </c>
      <c r="D10" s="86" t="s">
        <v>164</v>
      </c>
      <c r="E10" s="86" t="s">
        <v>165</v>
      </c>
      <c r="F10" s="156"/>
    </row>
    <row r="11" spans="1:9" ht="14.25" thickBot="1" x14ac:dyDescent="0.2">
      <c r="B11" s="84">
        <v>7</v>
      </c>
      <c r="C11" s="85" t="s">
        <v>79</v>
      </c>
      <c r="D11" s="86" t="s">
        <v>162</v>
      </c>
      <c r="E11" s="86" t="s">
        <v>163</v>
      </c>
      <c r="F11" s="156"/>
    </row>
    <row r="12" spans="1:9" ht="15" thickTop="1" thickBot="1" x14ac:dyDescent="0.2">
      <c r="B12" s="139">
        <v>8</v>
      </c>
      <c r="C12" s="140" t="s">
        <v>83</v>
      </c>
      <c r="D12" s="90" t="s">
        <v>160</v>
      </c>
      <c r="E12" s="90" t="s">
        <v>161</v>
      </c>
      <c r="F12" s="158"/>
    </row>
  </sheetData>
  <phoneticPr fontId="1"/>
  <pageMargins left="0.75" right="0.75" top="1" bottom="1" header="0.51200000000000001" footer="0.51200000000000001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J27"/>
  <sheetViews>
    <sheetView zoomScaleNormal="100" workbookViewId="0">
      <selection activeCell="F3" sqref="F3"/>
    </sheetView>
  </sheetViews>
  <sheetFormatPr defaultRowHeight="13.5" x14ac:dyDescent="0.15"/>
  <cols>
    <col min="1" max="1" width="2.5" bestFit="1" customWidth="1"/>
    <col min="2" max="2" width="9.625" customWidth="1"/>
    <col min="3" max="3" width="4.625" style="48" customWidth="1"/>
    <col min="4" max="4" width="9.625" style="2" customWidth="1"/>
    <col min="5" max="5" width="25.625" customWidth="1"/>
    <col min="6" max="6" width="29" customWidth="1"/>
    <col min="7" max="7" width="3.5" customWidth="1"/>
    <col min="9" max="9" width="7.375" customWidth="1"/>
  </cols>
  <sheetData>
    <row r="1" spans="1:10" ht="55.5" x14ac:dyDescent="0.15">
      <c r="B1" s="232" t="s">
        <v>138</v>
      </c>
    </row>
    <row r="2" spans="1:10" x14ac:dyDescent="0.15">
      <c r="B2" t="s">
        <v>60</v>
      </c>
      <c r="F2" s="55" t="s">
        <v>155</v>
      </c>
    </row>
    <row r="3" spans="1:10" x14ac:dyDescent="0.15">
      <c r="F3" s="55"/>
    </row>
    <row r="4" spans="1:10" x14ac:dyDescent="0.15">
      <c r="B4" t="s">
        <v>69</v>
      </c>
    </row>
    <row r="5" spans="1:10" ht="14.25" thickBot="1" x14ac:dyDescent="0.2">
      <c r="H5" t="s">
        <v>8</v>
      </c>
      <c r="I5" t="s">
        <v>9</v>
      </c>
    </row>
    <row r="6" spans="1:10" x14ac:dyDescent="0.15">
      <c r="B6" s="50" t="s">
        <v>18</v>
      </c>
      <c r="C6" s="320" t="s">
        <v>57</v>
      </c>
      <c r="D6" s="321"/>
      <c r="E6" s="51" t="s">
        <v>0</v>
      </c>
      <c r="F6" s="52" t="s">
        <v>59</v>
      </c>
    </row>
    <row r="7" spans="1:10" ht="14.25" x14ac:dyDescent="0.2">
      <c r="A7">
        <v>1</v>
      </c>
      <c r="B7" s="53">
        <v>0.59027777777777779</v>
      </c>
      <c r="C7" s="49">
        <v>1</v>
      </c>
      <c r="D7" s="56" t="str">
        <f>LOOKUP(C7,チーム一覧!$B$5:$B$12,チーム一覧!$C$5:$C$12)</f>
        <v>RN01</v>
      </c>
      <c r="E7" s="43" t="str">
        <f>LOOKUP(C7,チーム一覧!$B$5:$B$12,チーム一覧!$D$5:$D$12)</f>
        <v>チームおゆみ野</v>
      </c>
      <c r="F7" s="57" t="str">
        <f>LOOKUP(C7,チーム一覧!$B$5:$B$12,チーム一覧!$E$5:$E$12)</f>
        <v>チームオユミノ</v>
      </c>
      <c r="H7" s="83"/>
      <c r="I7" s="154"/>
    </row>
    <row r="8" spans="1:10" ht="14.25" x14ac:dyDescent="0.2">
      <c r="A8">
        <v>2</v>
      </c>
      <c r="B8" s="53">
        <f>B7+TIME(0,6,0)</f>
        <v>0.59444444444444444</v>
      </c>
      <c r="C8" s="49">
        <v>2</v>
      </c>
      <c r="D8" s="56" t="str">
        <f>LOOKUP(C8,チーム一覧!$B$5:$B$12,チーム一覧!$C$5:$C$12)</f>
        <v>RN02</v>
      </c>
      <c r="E8" s="43" t="str">
        <f>LOOKUP(C8,チーム一覧!$B$5:$B$12,チーム一覧!$D$5:$D$12)</f>
        <v>まり・きゅりー</v>
      </c>
      <c r="F8" s="57" t="str">
        <f>LOOKUP(C8,チーム一覧!$B$5:$B$12,チーム一覧!$E$5:$E$12)</f>
        <v>マリキュリー</v>
      </c>
      <c r="H8" s="83"/>
      <c r="I8" s="154"/>
      <c r="J8" s="154"/>
    </row>
    <row r="9" spans="1:10" ht="14.25" x14ac:dyDescent="0.2">
      <c r="A9">
        <v>3</v>
      </c>
      <c r="B9" s="53">
        <f t="shared" ref="B9:B14" si="0">B8+TIME(0,6,0)</f>
        <v>0.59861111111111109</v>
      </c>
      <c r="C9" s="49">
        <v>3</v>
      </c>
      <c r="D9" s="56" t="str">
        <f>LOOKUP(C9,チーム一覧!$B$5:$B$12,チーム一覧!$C$5:$C$12)</f>
        <v>RL01</v>
      </c>
      <c r="E9" s="43" t="str">
        <f>LOOKUP(C9,チーム一覧!$B$5:$B$12,チーム一覧!$D$5:$D$12)</f>
        <v>まくすうぇる</v>
      </c>
      <c r="F9" s="57" t="str">
        <f>LOOKUP(C9,チーム一覧!$B$5:$B$12,チーム一覧!$E$5:$E$12)</f>
        <v>マクスウェル</v>
      </c>
      <c r="H9" s="83"/>
      <c r="J9" s="154"/>
    </row>
    <row r="10" spans="1:10" ht="14.25" x14ac:dyDescent="0.2">
      <c r="A10">
        <v>4</v>
      </c>
      <c r="B10" s="53">
        <f t="shared" si="0"/>
        <v>0.60277777777777775</v>
      </c>
      <c r="C10" s="49">
        <v>4</v>
      </c>
      <c r="D10" s="56" t="str">
        <f>LOOKUP(C10,チーム一覧!$B$5:$B$12,チーム一覧!$C$5:$C$12)</f>
        <v>RL02</v>
      </c>
      <c r="E10" s="43" t="str">
        <f>LOOKUP(C10,チーム一覧!$B$5:$B$12,チーム一覧!$D$5:$D$12)</f>
        <v>ぱうり</v>
      </c>
      <c r="F10" s="57" t="str">
        <f>LOOKUP(C10,チーム一覧!$B$5:$B$12,チーム一覧!$E$5:$E$12)</f>
        <v>パウリ</v>
      </c>
      <c r="H10" s="83"/>
      <c r="I10" s="154"/>
    </row>
    <row r="11" spans="1:10" ht="14.25" x14ac:dyDescent="0.2">
      <c r="A11">
        <v>5</v>
      </c>
      <c r="B11" s="53">
        <f t="shared" si="0"/>
        <v>0.6069444444444444</v>
      </c>
      <c r="C11" s="49">
        <v>5</v>
      </c>
      <c r="D11" s="56" t="str">
        <f>LOOKUP(C11,チーム一覧!$B$5:$B$12,チーム一覧!$C$5:$C$12)</f>
        <v>RL03</v>
      </c>
      <c r="E11" s="43" t="str">
        <f>LOOKUP(C11,チーム一覧!$B$5:$B$12,チーム一覧!$D$5:$D$12)</f>
        <v>おいらぁ</v>
      </c>
      <c r="F11" s="57" t="str">
        <f>LOOKUP(C11,チーム一覧!$B$5:$B$12,チーム一覧!$E$5:$E$12)</f>
        <v>オイラァ</v>
      </c>
      <c r="H11" s="83"/>
      <c r="I11" s="154"/>
    </row>
    <row r="12" spans="1:10" x14ac:dyDescent="0.15">
      <c r="A12">
        <v>6</v>
      </c>
      <c r="B12" s="53">
        <f t="shared" si="0"/>
        <v>0.61111111111111105</v>
      </c>
      <c r="C12" s="49">
        <v>6</v>
      </c>
      <c r="D12" s="56" t="str">
        <f>LOOKUP(C12,チーム一覧!$B$5:$B$12,チーム一覧!$C$5:$C$12)</f>
        <v>RL04</v>
      </c>
      <c r="E12" s="43" t="str">
        <f>LOOKUP(C12,チーム一覧!$B$5:$B$12,チーム一覧!$D$5:$D$12)</f>
        <v>わとそん</v>
      </c>
      <c r="F12" s="57" t="str">
        <f>LOOKUP(C12,チーム一覧!$B$5:$B$12,チーム一覧!$E$5:$E$12)</f>
        <v>ワトソン</v>
      </c>
      <c r="H12" s="83"/>
    </row>
    <row r="13" spans="1:10" ht="14.25" x14ac:dyDescent="0.2">
      <c r="A13">
        <v>7</v>
      </c>
      <c r="B13" s="53">
        <f t="shared" si="0"/>
        <v>0.6152777777777777</v>
      </c>
      <c r="C13" s="49">
        <v>7</v>
      </c>
      <c r="D13" s="56" t="str">
        <f>LOOKUP(C13,チーム一覧!$B$5:$B$12,チーム一覧!$C$5:$C$12)</f>
        <v>RL05</v>
      </c>
      <c r="E13" s="43" t="str">
        <f>LOOKUP(C13,チーム一覧!$B$5:$B$12,チーム一覧!$D$5:$D$12)</f>
        <v>県千葉GSU</v>
      </c>
      <c r="F13" s="57" t="str">
        <f>LOOKUP(C13,チーム一覧!$B$5:$B$12,チーム一覧!$E$5:$E$12)</f>
        <v>ケンチバジーエスユー</v>
      </c>
      <c r="H13" s="83"/>
      <c r="I13" s="154"/>
    </row>
    <row r="14" spans="1:10" ht="15" thickBot="1" x14ac:dyDescent="0.25">
      <c r="A14">
        <v>8</v>
      </c>
      <c r="B14" s="142">
        <f t="shared" si="0"/>
        <v>0.61944444444444435</v>
      </c>
      <c r="C14" s="143">
        <v>8</v>
      </c>
      <c r="D14" s="144" t="str">
        <f>LOOKUP(C14,チーム一覧!$B$5:$B$12,チーム一覧!$C$5:$C$12)</f>
        <v>RL06</v>
      </c>
      <c r="E14" s="145" t="str">
        <f>LOOKUP(C14,チーム一覧!$B$5:$B$12,チーム一覧!$D$5:$D$12)</f>
        <v>HAYATE</v>
      </c>
      <c r="F14" s="146" t="str">
        <f>LOOKUP(C14,チーム一覧!$B$5:$B$12,チーム一覧!$E$5:$E$12)</f>
        <v>ハヤテ</v>
      </c>
      <c r="H14" s="83"/>
      <c r="I14" s="154"/>
    </row>
    <row r="15" spans="1:10" ht="14.25" x14ac:dyDescent="0.2">
      <c r="B15" s="47"/>
      <c r="H15" s="3"/>
      <c r="I15" s="154"/>
    </row>
    <row r="16" spans="1:10" x14ac:dyDescent="0.15">
      <c r="B16" s="47" t="s">
        <v>70</v>
      </c>
      <c r="H16" s="3"/>
    </row>
    <row r="17" spans="1:9" ht="14.25" thickBot="1" x14ac:dyDescent="0.2">
      <c r="H17" s="3"/>
    </row>
    <row r="18" spans="1:9" ht="14.25" thickBot="1" x14ac:dyDescent="0.2">
      <c r="B18" s="77" t="s">
        <v>18</v>
      </c>
      <c r="C18" s="322" t="s">
        <v>57</v>
      </c>
      <c r="D18" s="323"/>
      <c r="E18" s="78" t="s">
        <v>0</v>
      </c>
      <c r="F18" s="79" t="s">
        <v>59</v>
      </c>
      <c r="H18" s="3"/>
    </row>
    <row r="19" spans="1:9" x14ac:dyDescent="0.15">
      <c r="A19">
        <v>1</v>
      </c>
      <c r="B19" s="94">
        <v>0.69444444444444453</v>
      </c>
      <c r="C19" s="95">
        <v>1</v>
      </c>
      <c r="D19" s="96" t="str">
        <f>LOOKUP(C19,チーム一覧!$B$5:$B$12,チーム一覧!$C$5:$C$12)</f>
        <v>RN01</v>
      </c>
      <c r="E19" s="97" t="str">
        <f>LOOKUP(C19,チーム一覧!$B$5:$B$12,チーム一覧!$D$5:$D$12)</f>
        <v>チームおゆみ野</v>
      </c>
      <c r="F19" s="98" t="str">
        <f>LOOKUP(C19,チーム一覧!$B$5:$B$12,チーム一覧!$E$5:$E$12)</f>
        <v>チームオユミノ</v>
      </c>
      <c r="H19" s="83"/>
    </row>
    <row r="20" spans="1:9" ht="14.25" x14ac:dyDescent="0.2">
      <c r="A20">
        <v>2</v>
      </c>
      <c r="B20" s="53">
        <f>B19+TIME(0,6,0)</f>
        <v>0.69861111111111118</v>
      </c>
      <c r="C20" s="49">
        <v>2</v>
      </c>
      <c r="D20" s="56" t="str">
        <f>LOOKUP(C20,チーム一覧!$B$5:$B$12,チーム一覧!$C$5:$C$12)</f>
        <v>RN02</v>
      </c>
      <c r="E20" s="43" t="str">
        <f>LOOKUP(C20,チーム一覧!$B$5:$B$12,チーム一覧!$D$5:$D$12)</f>
        <v>まり・きゅりー</v>
      </c>
      <c r="F20" s="57" t="str">
        <f>LOOKUP(C20,チーム一覧!$B$5:$B$12,チーム一覧!$E$5:$E$12)</f>
        <v>マリキュリー</v>
      </c>
      <c r="H20" s="83"/>
      <c r="I20" s="154"/>
    </row>
    <row r="21" spans="1:9" ht="14.25" x14ac:dyDescent="0.2">
      <c r="A21">
        <v>3</v>
      </c>
      <c r="B21" s="53">
        <f t="shared" ref="B21:B26" si="1">B20+TIME(0,6,0)</f>
        <v>0.70277777777777783</v>
      </c>
      <c r="C21" s="49">
        <v>3</v>
      </c>
      <c r="D21" s="56" t="str">
        <f>LOOKUP(C21,チーム一覧!$B$5:$B$12,チーム一覧!$C$5:$C$12)</f>
        <v>RL01</v>
      </c>
      <c r="E21" s="43" t="str">
        <f>LOOKUP(C21,チーム一覧!$B$5:$B$12,チーム一覧!$D$5:$D$12)</f>
        <v>まくすうぇる</v>
      </c>
      <c r="F21" s="57" t="str">
        <f>LOOKUP(C21,チーム一覧!$B$5:$B$12,チーム一覧!$E$5:$E$12)</f>
        <v>マクスウェル</v>
      </c>
      <c r="H21" s="83"/>
      <c r="I21" s="154"/>
    </row>
    <row r="22" spans="1:9" x14ac:dyDescent="0.15">
      <c r="A22">
        <v>4</v>
      </c>
      <c r="B22" s="53">
        <f t="shared" si="1"/>
        <v>0.70694444444444449</v>
      </c>
      <c r="C22" s="49">
        <v>4</v>
      </c>
      <c r="D22" s="56" t="str">
        <f>LOOKUP(C22,チーム一覧!$B$5:$B$12,チーム一覧!$C$5:$C$12)</f>
        <v>RL02</v>
      </c>
      <c r="E22" s="43" t="str">
        <f>LOOKUP(C22,チーム一覧!$B$5:$B$12,チーム一覧!$D$5:$D$12)</f>
        <v>ぱうり</v>
      </c>
      <c r="F22" s="57" t="str">
        <f>LOOKUP(C22,チーム一覧!$B$5:$B$12,チーム一覧!$E$5:$E$12)</f>
        <v>パウリ</v>
      </c>
      <c r="H22" s="83"/>
    </row>
    <row r="23" spans="1:9" ht="14.25" x14ac:dyDescent="0.2">
      <c r="A23">
        <v>5</v>
      </c>
      <c r="B23" s="53">
        <f t="shared" si="1"/>
        <v>0.71111111111111114</v>
      </c>
      <c r="C23" s="49">
        <v>5</v>
      </c>
      <c r="D23" s="56" t="str">
        <f>LOOKUP(C23,チーム一覧!$B$5:$B$12,チーム一覧!$C$5:$C$12)</f>
        <v>RL03</v>
      </c>
      <c r="E23" s="43" t="str">
        <f>LOOKUP(C23,チーム一覧!$B$5:$B$12,チーム一覧!$D$5:$D$12)</f>
        <v>おいらぁ</v>
      </c>
      <c r="F23" s="57" t="str">
        <f>LOOKUP(C23,チーム一覧!$B$5:$B$12,チーム一覧!$E$5:$E$12)</f>
        <v>オイラァ</v>
      </c>
      <c r="H23" s="83"/>
      <c r="I23" s="154"/>
    </row>
    <row r="24" spans="1:9" ht="14.25" x14ac:dyDescent="0.2">
      <c r="A24">
        <v>6</v>
      </c>
      <c r="B24" s="53">
        <f t="shared" si="1"/>
        <v>0.71527777777777779</v>
      </c>
      <c r="C24" s="49">
        <v>6</v>
      </c>
      <c r="D24" s="56" t="str">
        <f>LOOKUP(C24,チーム一覧!$B$5:$B$12,チーム一覧!$C$5:$C$12)</f>
        <v>RL04</v>
      </c>
      <c r="E24" s="43" t="str">
        <f>LOOKUP(C24,チーム一覧!$B$5:$B$12,チーム一覧!$D$5:$D$12)</f>
        <v>わとそん</v>
      </c>
      <c r="F24" s="57" t="str">
        <f>LOOKUP(C24,チーム一覧!$B$5:$B$12,チーム一覧!$E$5:$E$12)</f>
        <v>ワトソン</v>
      </c>
      <c r="H24" s="83"/>
      <c r="I24" s="154"/>
    </row>
    <row r="25" spans="1:9" x14ac:dyDescent="0.15">
      <c r="A25">
        <v>7</v>
      </c>
      <c r="B25" s="53">
        <f t="shared" si="1"/>
        <v>0.71944444444444444</v>
      </c>
      <c r="C25" s="49">
        <v>7</v>
      </c>
      <c r="D25" s="56" t="str">
        <f>LOOKUP(C25,チーム一覧!$B$5:$B$12,チーム一覧!$C$5:$C$12)</f>
        <v>RL05</v>
      </c>
      <c r="E25" s="43" t="str">
        <f>LOOKUP(C25,チーム一覧!$B$5:$B$12,チーム一覧!$D$5:$D$12)</f>
        <v>県千葉GSU</v>
      </c>
      <c r="F25" s="57" t="str">
        <f>LOOKUP(C25,チーム一覧!$B$5:$B$12,チーム一覧!$E$5:$E$12)</f>
        <v>ケンチバジーエスユー</v>
      </c>
      <c r="H25" s="83"/>
    </row>
    <row r="26" spans="1:9" ht="15" thickBot="1" x14ac:dyDescent="0.25">
      <c r="A26">
        <v>8</v>
      </c>
      <c r="B26" s="142">
        <f t="shared" si="1"/>
        <v>0.72361111111111109</v>
      </c>
      <c r="C26" s="143">
        <v>8</v>
      </c>
      <c r="D26" s="144" t="str">
        <f>LOOKUP(C26,チーム一覧!$B$5:$B$12,チーム一覧!$C$5:$C$12)</f>
        <v>RL06</v>
      </c>
      <c r="E26" s="145" t="str">
        <f>LOOKUP(C26,チーム一覧!$B$5:$B$12,チーム一覧!$D$5:$D$12)</f>
        <v>HAYATE</v>
      </c>
      <c r="F26" s="146" t="str">
        <f>LOOKUP(C26,チーム一覧!$B$5:$B$12,チーム一覧!$E$5:$E$12)</f>
        <v>ハヤテ</v>
      </c>
      <c r="H26" s="83"/>
      <c r="I26" s="154"/>
    </row>
    <row r="27" spans="1:9" ht="14.25" x14ac:dyDescent="0.2">
      <c r="I27" s="154"/>
    </row>
  </sheetData>
  <mergeCells count="2">
    <mergeCell ref="C6:D6"/>
    <mergeCell ref="C18:D18"/>
  </mergeCells>
  <phoneticPr fontId="1"/>
  <pageMargins left="0.75" right="0.75" top="1" bottom="1" header="0.51200000000000001" footer="0.51200000000000001"/>
  <pageSetup paperSize="9" orientation="landscape" horizontalDpi="429496729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C850A-4C0A-4F58-AC64-815D6F9B1A23}">
  <sheetPr codeName="Sheet13"/>
  <dimension ref="A1:AL20"/>
  <sheetViews>
    <sheetView zoomScaleNormal="100" workbookViewId="0">
      <selection activeCell="Z8" sqref="Z8:AA8"/>
    </sheetView>
  </sheetViews>
  <sheetFormatPr defaultColWidth="4.125" defaultRowHeight="22.5" customHeight="1" x14ac:dyDescent="0.15"/>
  <cols>
    <col min="1" max="1" width="4.125" customWidth="1"/>
    <col min="2" max="10" width="6.25" customWidth="1"/>
    <col min="11" max="12" width="4.125" customWidth="1"/>
    <col min="13" max="13" width="5" customWidth="1"/>
    <col min="14" max="14" width="6.25" customWidth="1"/>
    <col min="15" max="15" width="9.25" customWidth="1"/>
    <col min="16" max="16" width="6.75" customWidth="1"/>
    <col min="17" max="17" width="5.875" customWidth="1"/>
    <col min="18" max="18" width="4.125" customWidth="1"/>
    <col min="19" max="25" width="5" customWidth="1"/>
    <col min="34" max="37" width="9" customWidth="1"/>
  </cols>
  <sheetData>
    <row r="1" spans="1:38" ht="27" customHeight="1" x14ac:dyDescent="0.45">
      <c r="A1" s="366" t="s">
        <v>140</v>
      </c>
      <c r="B1" s="367"/>
      <c r="C1" s="367"/>
      <c r="D1" s="367"/>
      <c r="E1" s="367"/>
      <c r="F1" s="367"/>
      <c r="G1" s="368"/>
      <c r="H1" s="358" t="s">
        <v>57</v>
      </c>
      <c r="I1" s="359"/>
      <c r="J1" s="369" t="str">
        <f>+IF($AI$10=0,"",IF($AK$10=1,VLOOKUP($AI$10,競技順番!$A$7:$F$14,4),VLOOKUP($AI$10,競技順番!$A$19:$F$26,4)))</f>
        <v>RN02</v>
      </c>
      <c r="K1" s="370"/>
      <c r="L1" s="371"/>
      <c r="M1" s="372" t="s">
        <v>0</v>
      </c>
      <c r="N1" s="373"/>
      <c r="O1" s="374" t="str">
        <f>+IF($AI$10=0,"",IF($AK$10=1,VLOOKUP($AI$10,競技順番!$A$7:$F$14,5),VLOOKUP($AI$10,競技順番!$A$19:$F$26,5)))</f>
        <v>まり・きゅりー</v>
      </c>
      <c r="P1" s="375"/>
      <c r="Q1" s="375"/>
      <c r="R1" s="376"/>
      <c r="T1" s="363" t="s">
        <v>7</v>
      </c>
      <c r="U1" s="364"/>
      <c r="V1" s="365"/>
      <c r="W1" s="350">
        <v>0.25</v>
      </c>
      <c r="X1" s="351"/>
      <c r="Y1" s="346"/>
      <c r="Z1" s="234"/>
      <c r="AA1" s="76"/>
      <c r="AB1" s="76"/>
      <c r="AC1" s="76"/>
    </row>
    <row r="2" spans="1:38" ht="27" customHeight="1" x14ac:dyDescent="0.45">
      <c r="A2" s="355" t="str">
        <f>"日本リーグ　レスキュー　" &amp; AK10 &amp;"回目"</f>
        <v>日本リーグ　レスキュー　2回目</v>
      </c>
      <c r="B2" s="356"/>
      <c r="C2" s="356"/>
      <c r="D2" s="356"/>
      <c r="E2" s="356"/>
      <c r="F2" s="356"/>
      <c r="G2" s="357"/>
      <c r="H2" s="358" t="s">
        <v>18</v>
      </c>
      <c r="I2" s="359"/>
      <c r="J2" s="360">
        <f>+IF($AI$10=0,"",IF($AK$10=1,VLOOKUP($AI$10,競技順番!$A$7:$F$14,2),VLOOKUP($AI$10,競技順番!$A$19:$F$26,2)))</f>
        <v>0.69861111111111118</v>
      </c>
      <c r="K2" s="361"/>
      <c r="L2" s="362"/>
      <c r="M2" s="218"/>
      <c r="N2" s="219"/>
      <c r="O2" s="374" t="str">
        <f>+IF($AI$10=0,"",IF($AK$10=1,VLOOKUP($AI$10,競技順番!$A$7:$F$14,6),VLOOKUP($AI$10,競技順番!$A$19:$F$26,6)))</f>
        <v>マリキュリー</v>
      </c>
      <c r="P2" s="375"/>
      <c r="Q2" s="375"/>
      <c r="R2" s="376"/>
      <c r="T2" s="363" t="s">
        <v>135</v>
      </c>
      <c r="U2" s="364"/>
      <c r="V2" s="365"/>
      <c r="W2" s="352">
        <f>SUM(R6:R20)+SUM(AB6:AC9)+SUM(AB11:AC13)+IF(V15=TRUE,20,0)</f>
        <v>84</v>
      </c>
      <c r="X2" s="353"/>
      <c r="Y2" s="354"/>
      <c r="Z2" s="348" t="s">
        <v>141</v>
      </c>
      <c r="AA2" s="349"/>
      <c r="AB2" s="345">
        <f>SUM(Z7:AA9)+V14</f>
        <v>6</v>
      </c>
      <c r="AC2" s="346"/>
    </row>
    <row r="3" spans="1:38" ht="11.25" customHeight="1" x14ac:dyDescent="0.15"/>
    <row r="4" spans="1:38" ht="22.5" customHeight="1" x14ac:dyDescent="0.45">
      <c r="B4" s="193" t="s">
        <v>124</v>
      </c>
      <c r="D4" s="193" t="b">
        <v>1</v>
      </c>
      <c r="L4" s="204" t="s">
        <v>106</v>
      </c>
      <c r="S4" s="204" t="s">
        <v>53</v>
      </c>
    </row>
    <row r="5" spans="1:38" ht="22.5" customHeight="1" thickBot="1" x14ac:dyDescent="0.5">
      <c r="B5" s="2" t="s">
        <v>86</v>
      </c>
      <c r="C5" s="2" t="s">
        <v>87</v>
      </c>
      <c r="D5" s="2" t="s">
        <v>88</v>
      </c>
      <c r="E5" s="2" t="s">
        <v>89</v>
      </c>
      <c r="F5" s="2" t="s">
        <v>90</v>
      </c>
      <c r="G5" s="2" t="s">
        <v>91</v>
      </c>
      <c r="H5" s="2" t="s">
        <v>92</v>
      </c>
      <c r="I5" s="2" t="s">
        <v>93</v>
      </c>
      <c r="J5" s="2" t="s">
        <v>94</v>
      </c>
      <c r="L5" s="206"/>
      <c r="M5" s="203" t="s">
        <v>112</v>
      </c>
      <c r="N5" s="339" t="s">
        <v>95</v>
      </c>
      <c r="O5" s="340"/>
      <c r="P5" s="202" t="s">
        <v>1</v>
      </c>
      <c r="Q5" s="202" t="s">
        <v>96</v>
      </c>
      <c r="S5" s="203" t="s">
        <v>120</v>
      </c>
      <c r="T5" s="202" t="s">
        <v>111</v>
      </c>
      <c r="U5" s="203" t="s">
        <v>97</v>
      </c>
      <c r="V5" s="203" t="s">
        <v>98</v>
      </c>
      <c r="W5" s="203" t="s">
        <v>99</v>
      </c>
      <c r="X5" s="203" t="s">
        <v>100</v>
      </c>
      <c r="Y5" s="203" t="s">
        <v>101</v>
      </c>
      <c r="Z5" s="341" t="s">
        <v>110</v>
      </c>
      <c r="AA5" s="342"/>
      <c r="AB5" s="341" t="s">
        <v>1</v>
      </c>
      <c r="AC5" s="342"/>
    </row>
    <row r="6" spans="1:38" ht="37.5" customHeight="1" thickBot="1" x14ac:dyDescent="0.5">
      <c r="A6" s="200">
        <v>1</v>
      </c>
      <c r="B6" s="184"/>
      <c r="C6" s="208"/>
      <c r="D6" s="208"/>
      <c r="E6" s="208"/>
      <c r="F6" s="208"/>
      <c r="G6" s="185"/>
      <c r="H6" s="185"/>
      <c r="I6" s="185"/>
      <c r="J6" s="186"/>
      <c r="L6" s="205">
        <v>1</v>
      </c>
      <c r="M6" s="194" t="s">
        <v>129</v>
      </c>
      <c r="N6" s="195"/>
      <c r="O6" s="207" t="s">
        <v>84</v>
      </c>
      <c r="P6" s="196">
        <v>10</v>
      </c>
      <c r="Q6" s="211" t="b">
        <v>1</v>
      </c>
      <c r="R6" s="222">
        <f>IF(Q6=TRUE,P6,0)</f>
        <v>10</v>
      </c>
      <c r="S6" s="199">
        <v>1</v>
      </c>
      <c r="T6" s="197">
        <v>1</v>
      </c>
      <c r="U6" s="212" t="b">
        <v>1</v>
      </c>
      <c r="V6" s="213" t="b">
        <v>0</v>
      </c>
      <c r="W6" s="214" t="b">
        <v>0</v>
      </c>
      <c r="X6" s="214" t="b">
        <v>0</v>
      </c>
      <c r="Y6" s="212" t="b">
        <v>0</v>
      </c>
      <c r="Z6" s="343"/>
      <c r="AA6" s="344"/>
      <c r="AB6" s="333">
        <f>IF(T6&lt;&gt;"",IF(U6=TRUE,T6*5,IF(V6=TRUE,T6*3,IF(W6=TRUE,T6*1,IF(OR(X6=TRUE,Y6=TRUE),0,"")))),"")</f>
        <v>5</v>
      </c>
      <c r="AC6" s="335"/>
      <c r="AH6" s="2" t="s">
        <v>12</v>
      </c>
      <c r="AI6" s="2" t="s">
        <v>13</v>
      </c>
      <c r="AJ6" s="6">
        <v>1</v>
      </c>
    </row>
    <row r="7" spans="1:38" ht="37.5" customHeight="1" thickBot="1" x14ac:dyDescent="0.5">
      <c r="A7" s="200">
        <v>2</v>
      </c>
      <c r="B7" s="187"/>
      <c r="C7" s="209"/>
      <c r="D7" s="209"/>
      <c r="E7" s="209"/>
      <c r="F7" s="209"/>
      <c r="G7" s="188"/>
      <c r="H7" s="188"/>
      <c r="I7" s="188"/>
      <c r="J7" s="189"/>
      <c r="L7" s="205">
        <v>2</v>
      </c>
      <c r="M7" s="194" t="s">
        <v>130</v>
      </c>
      <c r="N7" s="195"/>
      <c r="O7" s="207" t="s">
        <v>113</v>
      </c>
      <c r="P7" s="196">
        <v>15</v>
      </c>
      <c r="Q7" s="211" t="b">
        <v>1</v>
      </c>
      <c r="R7" s="222">
        <f t="shared" ref="R7:R20" si="0">IF(Q7=TRUE,P7,0)</f>
        <v>15</v>
      </c>
      <c r="S7" s="198">
        <v>14</v>
      </c>
      <c r="T7" s="221">
        <f>IF(ISNUMBER(S7),S7-S6,"")</f>
        <v>13</v>
      </c>
      <c r="U7" s="212" t="b">
        <v>0</v>
      </c>
      <c r="V7" s="212" t="b">
        <v>0</v>
      </c>
      <c r="W7" s="212" t="b">
        <v>0</v>
      </c>
      <c r="X7" s="212" t="b">
        <v>0</v>
      </c>
      <c r="Y7" s="212" t="b">
        <v>1</v>
      </c>
      <c r="Z7" s="345">
        <v>3</v>
      </c>
      <c r="AA7" s="346"/>
      <c r="AB7" s="333">
        <f>IF(T7&lt;&gt;"",IF(U7=TRUE,T7*5,IF(V7=TRUE,T7*3,IF(W7=TRUE,T7*1,IF(OR(X7=TRUE,Y7=TRUE),0,"")))),"")</f>
        <v>0</v>
      </c>
      <c r="AC7" s="335"/>
      <c r="AH7" s="2"/>
      <c r="AI7" s="2" t="s">
        <v>14</v>
      </c>
      <c r="AJ7" s="7">
        <v>2</v>
      </c>
    </row>
    <row r="8" spans="1:38" ht="37.5" customHeight="1" x14ac:dyDescent="0.45">
      <c r="A8" s="200">
        <v>3</v>
      </c>
      <c r="B8" s="187"/>
      <c r="C8" s="209"/>
      <c r="D8" s="209"/>
      <c r="E8" s="209"/>
      <c r="F8" s="209"/>
      <c r="G8" s="188"/>
      <c r="H8" s="188"/>
      <c r="I8" s="188"/>
      <c r="J8" s="189"/>
      <c r="L8" s="205">
        <v>3</v>
      </c>
      <c r="M8" s="194" t="s">
        <v>131</v>
      </c>
      <c r="N8" s="195"/>
      <c r="O8" s="207" t="s">
        <v>114</v>
      </c>
      <c r="P8" s="196">
        <v>5</v>
      </c>
      <c r="Q8" s="211" t="b">
        <v>0</v>
      </c>
      <c r="R8" s="222">
        <f t="shared" si="0"/>
        <v>0</v>
      </c>
      <c r="S8" s="198">
        <v>17</v>
      </c>
      <c r="T8" s="221">
        <f t="shared" ref="T8:T9" si="1">IF(ISNUMBER(S8),S8-S7,"")</f>
        <v>3</v>
      </c>
      <c r="U8" s="212" t="b">
        <v>0</v>
      </c>
      <c r="V8" s="212" t="b">
        <v>1</v>
      </c>
      <c r="W8" s="212" t="b">
        <v>0</v>
      </c>
      <c r="X8" s="212" t="b">
        <v>0</v>
      </c>
      <c r="Y8" s="212" t="b">
        <v>0</v>
      </c>
      <c r="Z8" s="345">
        <v>1</v>
      </c>
      <c r="AA8" s="346"/>
      <c r="AB8" s="333">
        <f>IF(T8&lt;&gt;"",IF(U8=TRUE,T8*5,IF(V8=TRUE,T8*3,IF(W8=TRUE,T8*1,IF(OR(X8=TRUE,Y8=TRUE),0,"")))),"")</f>
        <v>9</v>
      </c>
      <c r="AC8" s="335"/>
    </row>
    <row r="9" spans="1:38" ht="37.5" customHeight="1" x14ac:dyDescent="0.45">
      <c r="A9" s="200">
        <v>4</v>
      </c>
      <c r="B9" s="187"/>
      <c r="C9" s="210"/>
      <c r="D9" s="210"/>
      <c r="E9" s="210"/>
      <c r="F9" s="210"/>
      <c r="G9" s="188"/>
      <c r="H9" s="188"/>
      <c r="I9" s="188"/>
      <c r="J9" s="189"/>
      <c r="L9" s="205">
        <v>4</v>
      </c>
      <c r="M9" s="194" t="s">
        <v>132</v>
      </c>
      <c r="N9" s="195"/>
      <c r="O9" s="207" t="s">
        <v>115</v>
      </c>
      <c r="P9" s="196">
        <v>5</v>
      </c>
      <c r="Q9" s="211" t="b">
        <v>0</v>
      </c>
      <c r="R9" s="222">
        <f t="shared" si="0"/>
        <v>0</v>
      </c>
      <c r="S9" s="198">
        <v>24</v>
      </c>
      <c r="T9" s="221">
        <f t="shared" si="1"/>
        <v>7</v>
      </c>
      <c r="U9" s="212" t="b">
        <v>0</v>
      </c>
      <c r="V9" s="212" t="b">
        <v>0</v>
      </c>
      <c r="W9" s="212" t="b">
        <v>0</v>
      </c>
      <c r="X9" s="212" t="b">
        <v>0</v>
      </c>
      <c r="Y9" s="212" t="b">
        <v>1</v>
      </c>
      <c r="Z9" s="345">
        <v>2</v>
      </c>
      <c r="AA9" s="346"/>
      <c r="AB9" s="333">
        <f>IF(T9&lt;&gt;"",IF(U9=TRUE,T9*5,IF(V9=TRUE,T9*3,IF(W9=TRUE,T9*1,IF(OR(X9=TRUE,Y9=TRUE),0,"")))),"")</f>
        <v>0</v>
      </c>
      <c r="AC9" s="335"/>
    </row>
    <row r="10" spans="1:38" ht="37.5" customHeight="1" x14ac:dyDescent="0.45">
      <c r="A10" s="200">
        <v>5</v>
      </c>
      <c r="B10" s="187"/>
      <c r="C10" s="188"/>
      <c r="D10" s="188"/>
      <c r="E10" s="188"/>
      <c r="F10" s="188"/>
      <c r="G10" s="188"/>
      <c r="H10" s="188"/>
      <c r="I10" s="188"/>
      <c r="J10" s="189"/>
      <c r="L10" s="205">
        <v>5</v>
      </c>
      <c r="M10" s="194" t="s">
        <v>133</v>
      </c>
      <c r="N10" s="195"/>
      <c r="O10" s="207" t="s">
        <v>113</v>
      </c>
      <c r="P10" s="196">
        <v>15</v>
      </c>
      <c r="Q10" s="211" t="b">
        <v>1</v>
      </c>
      <c r="R10" s="222">
        <f t="shared" si="0"/>
        <v>15</v>
      </c>
      <c r="S10" s="204" t="s">
        <v>102</v>
      </c>
      <c r="AB10" s="347" t="s">
        <v>1</v>
      </c>
      <c r="AC10" s="347"/>
      <c r="AH10" s="1" t="s">
        <v>11</v>
      </c>
      <c r="AI10" s="8">
        <v>2</v>
      </c>
      <c r="AJ10" t="s">
        <v>137</v>
      </c>
      <c r="AK10" s="8">
        <v>2</v>
      </c>
      <c r="AL10" t="s">
        <v>15</v>
      </c>
    </row>
    <row r="11" spans="1:38" ht="37.5" customHeight="1" x14ac:dyDescent="0.45">
      <c r="A11" s="200">
        <v>6</v>
      </c>
      <c r="B11" s="187"/>
      <c r="C11" s="188"/>
      <c r="D11" s="188"/>
      <c r="E11" s="188"/>
      <c r="F11" s="188"/>
      <c r="G11" s="188"/>
      <c r="H11" s="188"/>
      <c r="I11" s="188"/>
      <c r="J11" s="189"/>
      <c r="L11" s="205">
        <v>6</v>
      </c>
      <c r="M11" s="194" t="s">
        <v>118</v>
      </c>
      <c r="N11" s="195"/>
      <c r="O11" s="207" t="s">
        <v>76</v>
      </c>
      <c r="P11" s="196">
        <v>5</v>
      </c>
      <c r="Q11" s="211" t="b">
        <v>1</v>
      </c>
      <c r="R11" s="222">
        <f t="shared" si="0"/>
        <v>5</v>
      </c>
      <c r="S11" s="338" t="s">
        <v>103</v>
      </c>
      <c r="T11" s="338"/>
      <c r="U11" s="338"/>
      <c r="V11" s="220" t="b">
        <v>0</v>
      </c>
      <c r="W11" s="223" t="b">
        <v>0</v>
      </c>
      <c r="X11" s="223" t="b">
        <v>0</v>
      </c>
      <c r="Y11" s="224" t="b">
        <v>0</v>
      </c>
      <c r="Z11" s="222">
        <f>COUNTIF(V11:Y11,TRUE)</f>
        <v>0</v>
      </c>
      <c r="AA11" s="201" t="s">
        <v>107</v>
      </c>
      <c r="AB11" s="328">
        <f>IF($D$4=TRUE,MAX(Z11*30 -VALUE($V$14)*5,0),IF($F$4=TRUE,MAX(Z11*40-VALUE($V$14)*5,0),""))</f>
        <v>0</v>
      </c>
      <c r="AC11" s="329"/>
      <c r="AH11" t="s">
        <v>16</v>
      </c>
    </row>
    <row r="12" spans="1:38" ht="37.5" customHeight="1" x14ac:dyDescent="0.45">
      <c r="A12" s="200">
        <v>7</v>
      </c>
      <c r="B12" s="187"/>
      <c r="C12" s="188"/>
      <c r="D12" s="188"/>
      <c r="E12" s="188"/>
      <c r="F12" s="188"/>
      <c r="G12" s="188"/>
      <c r="H12" s="188"/>
      <c r="I12" s="188"/>
      <c r="J12" s="189"/>
      <c r="L12" s="205">
        <v>7</v>
      </c>
      <c r="M12" s="194" t="s">
        <v>119</v>
      </c>
      <c r="N12" s="195"/>
      <c r="O12" s="207" t="s">
        <v>3</v>
      </c>
      <c r="P12" s="196">
        <v>10</v>
      </c>
      <c r="Q12" s="211" t="b">
        <v>1</v>
      </c>
      <c r="R12" s="222">
        <f t="shared" si="0"/>
        <v>10</v>
      </c>
      <c r="S12" s="327" t="s">
        <v>104</v>
      </c>
      <c r="T12" s="327"/>
      <c r="U12" s="327"/>
      <c r="V12" s="220" t="b">
        <v>0</v>
      </c>
      <c r="W12" s="223" t="b">
        <v>0</v>
      </c>
      <c r="X12" s="223" t="b">
        <v>0</v>
      </c>
      <c r="Y12" s="224" t="b">
        <v>0</v>
      </c>
      <c r="Z12" s="222">
        <f t="shared" ref="Z12:Z13" si="2">COUNTIF(V12:Y12,TRUE)</f>
        <v>0</v>
      </c>
      <c r="AA12" s="201" t="s">
        <v>108</v>
      </c>
      <c r="AB12" s="328">
        <f>IF($D$4=TRUE,MAX(Z12*5-VALUE($V$14)*5,0),IF($F$4=TRUE,MAX(Z12*5-VALUE($V$14)*5,0),""))</f>
        <v>0</v>
      </c>
      <c r="AC12" s="329"/>
      <c r="AH12" t="s">
        <v>17</v>
      </c>
    </row>
    <row r="13" spans="1:38" ht="37.5" customHeight="1" x14ac:dyDescent="0.45">
      <c r="A13" s="200">
        <v>8</v>
      </c>
      <c r="B13" s="187"/>
      <c r="C13" s="188"/>
      <c r="D13" s="188"/>
      <c r="E13" s="188"/>
      <c r="F13" s="188"/>
      <c r="G13" s="188"/>
      <c r="H13" s="188"/>
      <c r="I13" s="188"/>
      <c r="J13" s="189"/>
      <c r="L13" s="205">
        <v>8</v>
      </c>
      <c r="M13" s="194" t="s">
        <v>134</v>
      </c>
      <c r="N13" s="195"/>
      <c r="O13" s="207" t="s">
        <v>113</v>
      </c>
      <c r="P13" s="196">
        <v>15</v>
      </c>
      <c r="Q13" s="211" t="b">
        <v>1</v>
      </c>
      <c r="R13" s="222">
        <f t="shared" si="0"/>
        <v>15</v>
      </c>
      <c r="S13" s="327" t="s">
        <v>105</v>
      </c>
      <c r="T13" s="327"/>
      <c r="U13" s="327"/>
      <c r="V13" s="220" t="b">
        <v>0</v>
      </c>
      <c r="W13" s="223" t="b">
        <v>0</v>
      </c>
      <c r="X13" s="223" t="b">
        <v>0</v>
      </c>
      <c r="Y13" s="224" t="b">
        <v>0</v>
      </c>
      <c r="Z13" s="222">
        <f t="shared" si="2"/>
        <v>0</v>
      </c>
      <c r="AA13" s="201" t="s">
        <v>109</v>
      </c>
      <c r="AB13" s="328">
        <f>IF($D$4=TRUE,MAX(Z13*20-VALUE($V$14)*5,0),IF($F$4=TRUE,MAX(Z13*30-VALUE($V$14)*5,0),""))</f>
        <v>0</v>
      </c>
      <c r="AC13" s="329"/>
      <c r="AK13" t="s">
        <v>154</v>
      </c>
    </row>
    <row r="14" spans="1:38" ht="37.5" customHeight="1" x14ac:dyDescent="0.45">
      <c r="A14" s="200">
        <v>9</v>
      </c>
      <c r="B14" s="187"/>
      <c r="C14" s="188"/>
      <c r="D14" s="188"/>
      <c r="E14" s="188"/>
      <c r="F14" s="188"/>
      <c r="G14" s="188"/>
      <c r="H14" s="188"/>
      <c r="I14" s="188"/>
      <c r="J14" s="189"/>
      <c r="L14" s="205">
        <v>9</v>
      </c>
      <c r="M14" s="228"/>
      <c r="N14" s="229"/>
      <c r="O14" s="230"/>
      <c r="P14" s="231"/>
      <c r="Q14" s="233" t="b">
        <v>0</v>
      </c>
      <c r="R14" s="222">
        <f t="shared" si="0"/>
        <v>0</v>
      </c>
      <c r="S14" s="330" t="s">
        <v>2</v>
      </c>
      <c r="T14" s="331"/>
      <c r="U14" s="332"/>
      <c r="V14" s="333"/>
      <c r="W14" s="334"/>
      <c r="X14" s="334"/>
      <c r="Y14" s="335"/>
    </row>
    <row r="15" spans="1:38" ht="37.5" customHeight="1" x14ac:dyDescent="0.45">
      <c r="A15" s="200">
        <v>10</v>
      </c>
      <c r="B15" s="187"/>
      <c r="C15" s="188"/>
      <c r="D15" s="188"/>
      <c r="E15" s="188"/>
      <c r="F15" s="188"/>
      <c r="G15" s="188"/>
      <c r="H15" s="188"/>
      <c r="I15" s="188"/>
      <c r="J15" s="189"/>
      <c r="L15" s="205">
        <v>10</v>
      </c>
      <c r="M15" s="228"/>
      <c r="N15" s="229"/>
      <c r="O15" s="230"/>
      <c r="P15" s="231"/>
      <c r="Q15" s="233" t="b">
        <v>0</v>
      </c>
      <c r="R15" s="222">
        <f t="shared" si="0"/>
        <v>0</v>
      </c>
      <c r="S15" s="330" t="s">
        <v>136</v>
      </c>
      <c r="T15" s="331"/>
      <c r="U15" s="332"/>
      <c r="V15" s="336" t="b">
        <v>0</v>
      </c>
      <c r="W15" s="337"/>
    </row>
    <row r="16" spans="1:38" ht="37.5" customHeight="1" thickBot="1" x14ac:dyDescent="0.5">
      <c r="A16" s="200">
        <v>11</v>
      </c>
      <c r="B16" s="187"/>
      <c r="C16" s="188"/>
      <c r="D16" s="188"/>
      <c r="E16" s="188"/>
      <c r="F16" s="188"/>
      <c r="G16" s="188"/>
      <c r="H16" s="188"/>
      <c r="I16" s="188"/>
      <c r="J16" s="189"/>
      <c r="L16" s="205">
        <v>11</v>
      </c>
      <c r="M16" s="228"/>
      <c r="N16" s="229"/>
      <c r="O16" s="230"/>
      <c r="P16" s="231"/>
      <c r="Q16" s="233" t="b">
        <v>0</v>
      </c>
      <c r="R16" s="222">
        <f t="shared" si="0"/>
        <v>0</v>
      </c>
    </row>
    <row r="17" spans="1:29" ht="37.5" customHeight="1" thickBot="1" x14ac:dyDescent="0.5">
      <c r="A17" s="200">
        <v>12</v>
      </c>
      <c r="B17" s="190"/>
      <c r="C17" s="191"/>
      <c r="D17" s="191"/>
      <c r="E17" s="191"/>
      <c r="F17" s="191"/>
      <c r="G17" s="191"/>
      <c r="H17" s="191"/>
      <c r="I17" s="191"/>
      <c r="J17" s="192"/>
      <c r="L17" s="205">
        <v>12</v>
      </c>
      <c r="M17" s="228"/>
      <c r="N17" s="229"/>
      <c r="O17" s="230"/>
      <c r="P17" s="231"/>
      <c r="Q17" s="233" t="b">
        <v>0</v>
      </c>
      <c r="R17" s="222">
        <f t="shared" si="0"/>
        <v>0</v>
      </c>
      <c r="S17" s="324" t="s">
        <v>10</v>
      </c>
      <c r="T17" s="325"/>
      <c r="U17" s="325"/>
      <c r="V17" s="326"/>
      <c r="W17" s="215"/>
      <c r="X17" s="216"/>
      <c r="Y17" s="216"/>
      <c r="Z17" s="216"/>
      <c r="AA17" s="216"/>
      <c r="AB17" s="216"/>
      <c r="AC17" s="217"/>
    </row>
    <row r="18" spans="1:29" ht="37.5" customHeight="1" thickBot="1" x14ac:dyDescent="0.5">
      <c r="L18" s="205">
        <v>13</v>
      </c>
      <c r="M18" s="228"/>
      <c r="N18" s="229"/>
      <c r="O18" s="230"/>
      <c r="P18" s="231"/>
      <c r="Q18" s="233" t="b">
        <v>0</v>
      </c>
      <c r="R18" s="222">
        <f t="shared" si="0"/>
        <v>0</v>
      </c>
      <c r="S18" s="324" t="s">
        <v>121</v>
      </c>
      <c r="T18" s="325"/>
      <c r="U18" s="325"/>
      <c r="V18" s="326"/>
      <c r="W18" s="215"/>
      <c r="X18" s="216"/>
      <c r="Y18" s="216"/>
      <c r="Z18" s="216"/>
      <c r="AA18" s="216"/>
      <c r="AB18" s="216"/>
      <c r="AC18" s="217"/>
    </row>
    <row r="19" spans="1:29" ht="37.5" customHeight="1" thickBot="1" x14ac:dyDescent="0.5">
      <c r="L19" s="205">
        <v>14</v>
      </c>
      <c r="M19" s="228"/>
      <c r="N19" s="229"/>
      <c r="O19" s="230"/>
      <c r="P19" s="231"/>
      <c r="Q19" s="233" t="b">
        <v>0</v>
      </c>
      <c r="R19" s="222">
        <f t="shared" si="0"/>
        <v>0</v>
      </c>
      <c r="S19" s="324" t="s">
        <v>122</v>
      </c>
      <c r="T19" s="325"/>
      <c r="U19" s="325"/>
      <c r="V19" s="326"/>
      <c r="W19" s="215"/>
      <c r="X19" s="216"/>
      <c r="Y19" s="216"/>
      <c r="Z19" s="216"/>
      <c r="AA19" s="216"/>
      <c r="AB19" s="216"/>
      <c r="AC19" s="217"/>
    </row>
    <row r="20" spans="1:29" ht="37.5" customHeight="1" thickBot="1" x14ac:dyDescent="0.5">
      <c r="L20" s="205">
        <v>15</v>
      </c>
      <c r="M20" s="228"/>
      <c r="N20" s="229"/>
      <c r="O20" s="230"/>
      <c r="P20" s="231"/>
      <c r="Q20" s="233" t="b">
        <v>0</v>
      </c>
      <c r="R20" s="222">
        <f t="shared" si="0"/>
        <v>0</v>
      </c>
      <c r="S20" s="324" t="s">
        <v>123</v>
      </c>
      <c r="T20" s="325"/>
      <c r="U20" s="325"/>
      <c r="V20" s="326"/>
      <c r="W20" s="215"/>
      <c r="X20" s="216"/>
      <c r="Y20" s="216"/>
      <c r="Z20" s="216"/>
      <c r="AA20" s="216"/>
      <c r="AB20" s="216"/>
      <c r="AC20" s="217"/>
    </row>
  </sheetData>
  <dataConsolidate/>
  <mergeCells count="41">
    <mergeCell ref="Z2:AA2"/>
    <mergeCell ref="W1:Y1"/>
    <mergeCell ref="W2:Y2"/>
    <mergeCell ref="AB2:AC2"/>
    <mergeCell ref="A2:G2"/>
    <mergeCell ref="H2:I2"/>
    <mergeCell ref="J2:L2"/>
    <mergeCell ref="T2:V2"/>
    <mergeCell ref="A1:G1"/>
    <mergeCell ref="H1:I1"/>
    <mergeCell ref="J1:L1"/>
    <mergeCell ref="M1:N1"/>
    <mergeCell ref="T1:V1"/>
    <mergeCell ref="O1:R1"/>
    <mergeCell ref="O2:R2"/>
    <mergeCell ref="S11:U11"/>
    <mergeCell ref="AB11:AC11"/>
    <mergeCell ref="N5:O5"/>
    <mergeCell ref="Z5:AA5"/>
    <mergeCell ref="AB5:AC5"/>
    <mergeCell ref="Z6:AA6"/>
    <mergeCell ref="AB6:AC6"/>
    <mergeCell ref="Z7:AA7"/>
    <mergeCell ref="AB7:AC7"/>
    <mergeCell ref="Z8:AA8"/>
    <mergeCell ref="AB8:AC8"/>
    <mergeCell ref="Z9:AA9"/>
    <mergeCell ref="AB9:AC9"/>
    <mergeCell ref="AB10:AC10"/>
    <mergeCell ref="S20:V20"/>
    <mergeCell ref="S12:U12"/>
    <mergeCell ref="AB12:AC12"/>
    <mergeCell ref="S13:U13"/>
    <mergeCell ref="AB13:AC13"/>
    <mergeCell ref="S14:U14"/>
    <mergeCell ref="V14:Y14"/>
    <mergeCell ref="S15:U15"/>
    <mergeCell ref="V15:W15"/>
    <mergeCell ref="S17:V17"/>
    <mergeCell ref="S18:V18"/>
    <mergeCell ref="S19:V19"/>
  </mergeCells>
  <phoneticPr fontId="1"/>
  <conditionalFormatting sqref="W2">
    <cfRule type="expression" dxfId="3" priority="2">
      <formula>$W$2=0</formula>
    </cfRule>
  </conditionalFormatting>
  <conditionalFormatting sqref="AB2">
    <cfRule type="expression" dxfId="2" priority="1">
      <formula>$AB$2=0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80" fitToHeight="0" orientation="landscape" r:id="rId1"/>
  <rowBreaks count="1" manualBreakCount="1">
    <brk id="20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Check Box 1">
              <controlPr defaultSize="0" autoFill="0" autoLine="0" autoPict="0">
                <anchor moveWithCells="1">
                  <from>
                    <xdr:col>3</xdr:col>
                    <xdr:colOff>0</xdr:colOff>
                    <xdr:row>3</xdr:row>
                    <xdr:rowOff>9525</xdr:rowOff>
                  </from>
                  <to>
                    <xdr:col>5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Check Box 3">
              <controlPr defaultSize="0" autoFill="0" autoLine="0" autoPict="0">
                <anchor moveWithCells="1">
                  <from>
                    <xdr:col>16</xdr:col>
                    <xdr:colOff>104775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Check Box 4">
              <controlPr defaultSize="0" autoFill="0" autoLine="0" autoPict="0">
                <anchor moveWithCells="1">
                  <from>
                    <xdr:col>16</xdr:col>
                    <xdr:colOff>104775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Check Box 5">
              <controlPr defaultSize="0" autoFill="0" autoLine="0" autoPict="0">
                <anchor moveWithCells="1">
                  <from>
                    <xdr:col>16</xdr:col>
                    <xdr:colOff>104775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Check Box 6">
              <controlPr defaultSize="0" autoFill="0" autoLine="0" autoPict="0">
                <anchor moveWithCells="1">
                  <from>
                    <xdr:col>16</xdr:col>
                    <xdr:colOff>104775</xdr:colOff>
                    <xdr:row>7</xdr:row>
                    <xdr:rowOff>476250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Check Box 7">
              <controlPr defaultSize="0" autoFill="0" autoLine="0" autoPict="0">
                <anchor moveWithCells="1">
                  <from>
                    <xdr:col>16</xdr:col>
                    <xdr:colOff>104775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" name="Check Box 8">
              <controlPr defaultSize="0" autoFill="0" autoLine="0" autoPict="0">
                <anchor moveWithCells="1">
                  <from>
                    <xdr:col>16</xdr:col>
                    <xdr:colOff>104775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1" name="Check Box 9">
              <controlPr defaultSize="0" autoFill="0" autoLine="0" autoPict="0">
                <anchor moveWithCells="1">
                  <from>
                    <xdr:col>16</xdr:col>
                    <xdr:colOff>104775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2" name="Check Box 10">
              <controlPr defaultSize="0" autoFill="0" autoLine="0" autoPict="0">
                <anchor moveWithCells="1">
                  <from>
                    <xdr:col>16</xdr:col>
                    <xdr:colOff>104775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3" name="Check Box 11">
              <controlPr defaultSize="0" autoFill="0" autoLine="0" autoPict="0">
                <anchor moveWithCells="1">
                  <from>
                    <xdr:col>16</xdr:col>
                    <xdr:colOff>104775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4" name="Check Box 12">
              <controlPr defaultSize="0" autoFill="0" autoLine="0" autoPict="0">
                <anchor moveWithCells="1">
                  <from>
                    <xdr:col>16</xdr:col>
                    <xdr:colOff>104775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5" name="Check Box 13">
              <controlPr defaultSize="0" autoFill="0" autoLine="0" autoPict="0">
                <anchor moveWithCells="1">
                  <from>
                    <xdr:col>16</xdr:col>
                    <xdr:colOff>104775</xdr:colOff>
                    <xdr:row>14</xdr:row>
                    <xdr:rowOff>476250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6" name="Check Box 14">
              <controlPr defaultSize="0" autoFill="0" autoLine="0" autoPict="0">
                <anchor moveWithCells="1">
                  <from>
                    <xdr:col>16</xdr:col>
                    <xdr:colOff>104775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7" name="Check Box 15">
              <controlPr defaultSize="0" autoFill="0" autoLine="0" autoPict="0">
                <anchor moveWithCells="1">
                  <from>
                    <xdr:col>16</xdr:col>
                    <xdr:colOff>104775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8" name="Check Box 16">
              <controlPr defaultSize="0" autoFill="0" autoLine="0" autoPict="0">
                <anchor moveWithCells="1">
                  <from>
                    <xdr:col>16</xdr:col>
                    <xdr:colOff>104775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9" name="Check Box 17">
              <controlPr defaultSize="0" autoFill="0" autoLine="0" autoPict="0">
                <anchor moveWithCells="1">
                  <from>
                    <xdr:col>16</xdr:col>
                    <xdr:colOff>104775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0" name="Check Box 18">
              <controlPr defaultSize="0" autoFill="0" autoLine="0" autoPict="0">
                <anchor moveWithCells="1">
                  <from>
                    <xdr:col>20</xdr:col>
                    <xdr:colOff>76200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1" name="Check Box 19">
              <controlPr defaultSize="0" autoFill="0" autoLine="0" autoPict="0">
                <anchor moveWithCells="1">
                  <from>
                    <xdr:col>20</xdr:col>
                    <xdr:colOff>76200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2" name="Check Box 20">
              <controlPr defaultSize="0" autoFill="0" autoLine="0" autoPict="0">
                <anchor moveWithCells="1">
                  <from>
                    <xdr:col>21</xdr:col>
                    <xdr:colOff>76200</xdr:colOff>
                    <xdr:row>6</xdr:row>
                    <xdr:rowOff>0</xdr:rowOff>
                  </from>
                  <to>
                    <xdr:col>22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3" name="Check Box 21">
              <controlPr defaultSize="0" autoFill="0" autoLine="0" autoPict="0">
                <anchor moveWithCells="1">
                  <from>
                    <xdr:col>22</xdr:col>
                    <xdr:colOff>76200</xdr:colOff>
                    <xdr:row>6</xdr:row>
                    <xdr:rowOff>0</xdr:rowOff>
                  </from>
                  <to>
                    <xdr:col>23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4" name="Check Box 22">
              <controlPr defaultSize="0" autoFill="0" autoLine="0" autoPict="0">
                <anchor moveWithCells="1">
                  <from>
                    <xdr:col>23</xdr:col>
                    <xdr:colOff>76200</xdr:colOff>
                    <xdr:row>6</xdr:row>
                    <xdr:rowOff>0</xdr:rowOff>
                  </from>
                  <to>
                    <xdr:col>24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5" name="Check Box 23">
              <controlPr defaultSize="0" autoFill="0" autoLine="0" autoPict="0">
                <anchor moveWithCells="1">
                  <from>
                    <xdr:col>24</xdr:col>
                    <xdr:colOff>76200</xdr:colOff>
                    <xdr:row>6</xdr:row>
                    <xdr:rowOff>0</xdr:rowOff>
                  </from>
                  <to>
                    <xdr:col>25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6" name="Check Box 24">
              <controlPr defaultSize="0" autoFill="0" autoLine="0" autoPict="0">
                <anchor moveWithCells="1">
                  <from>
                    <xdr:col>24</xdr:col>
                    <xdr:colOff>76200</xdr:colOff>
                    <xdr:row>5</xdr:row>
                    <xdr:rowOff>0</xdr:rowOff>
                  </from>
                  <to>
                    <xdr:col>25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7" name="Check Box 25">
              <controlPr defaultSize="0" autoFill="0" autoLine="0" autoPict="0">
                <anchor moveWithCells="1">
                  <from>
                    <xdr:col>24</xdr:col>
                    <xdr:colOff>76200</xdr:colOff>
                    <xdr:row>7</xdr:row>
                    <xdr:rowOff>0</xdr:rowOff>
                  </from>
                  <to>
                    <xdr:col>25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8" name="Check Box 26">
              <controlPr defaultSize="0" autoFill="0" autoLine="0" autoPict="0">
                <anchor moveWithCells="1">
                  <from>
                    <xdr:col>23</xdr:col>
                    <xdr:colOff>76200</xdr:colOff>
                    <xdr:row>7</xdr:row>
                    <xdr:rowOff>0</xdr:rowOff>
                  </from>
                  <to>
                    <xdr:col>24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9" name="Check Box 27">
              <controlPr defaultSize="0" autoFill="0" autoLine="0" autoPict="0">
                <anchor moveWithCells="1">
                  <from>
                    <xdr:col>22</xdr:col>
                    <xdr:colOff>76200</xdr:colOff>
                    <xdr:row>7</xdr:row>
                    <xdr:rowOff>0</xdr:rowOff>
                  </from>
                  <to>
                    <xdr:col>23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0" name="Check Box 28">
              <controlPr defaultSize="0" autoFill="0" autoLine="0" autoPict="0">
                <anchor moveWithCells="1">
                  <from>
                    <xdr:col>21</xdr:col>
                    <xdr:colOff>76200</xdr:colOff>
                    <xdr:row>7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1" name="Check Box 29">
              <controlPr defaultSize="0" autoFill="0" autoLine="0" autoPict="0">
                <anchor moveWithCells="1">
                  <from>
                    <xdr:col>20</xdr:col>
                    <xdr:colOff>76200</xdr:colOff>
                    <xdr:row>7</xdr:row>
                    <xdr:rowOff>0</xdr:rowOff>
                  </from>
                  <to>
                    <xdr:col>21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2" name="Check Box 30">
              <controlPr defaultSize="0" autoFill="0" autoLine="0" autoPict="0">
                <anchor moveWithCells="1">
                  <from>
                    <xdr:col>20</xdr:col>
                    <xdr:colOff>76200</xdr:colOff>
                    <xdr:row>8</xdr:row>
                    <xdr:rowOff>0</xdr:rowOff>
                  </from>
                  <to>
                    <xdr:col>21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3" name="Check Box 31">
              <controlPr defaultSize="0" autoFill="0" autoLine="0" autoPict="0">
                <anchor moveWithCells="1">
                  <from>
                    <xdr:col>21</xdr:col>
                    <xdr:colOff>76200</xdr:colOff>
                    <xdr:row>8</xdr:row>
                    <xdr:rowOff>0</xdr:rowOff>
                  </from>
                  <to>
                    <xdr:col>22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34" name="Check Box 32">
              <controlPr defaultSize="0" autoFill="0" autoLine="0" autoPict="0">
                <anchor moveWithCells="1">
                  <from>
                    <xdr:col>22</xdr:col>
                    <xdr:colOff>76200</xdr:colOff>
                    <xdr:row>8</xdr:row>
                    <xdr:rowOff>0</xdr:rowOff>
                  </from>
                  <to>
                    <xdr:col>23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35" name="Check Box 33">
              <controlPr defaultSize="0" autoFill="0" autoLine="0" autoPict="0">
                <anchor moveWithCells="1">
                  <from>
                    <xdr:col>23</xdr:col>
                    <xdr:colOff>76200</xdr:colOff>
                    <xdr:row>8</xdr:row>
                    <xdr:rowOff>0</xdr:rowOff>
                  </from>
                  <to>
                    <xdr:col>24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36" name="Check Box 34">
              <controlPr defaultSize="0" autoFill="0" autoLine="0" autoPict="0">
                <anchor moveWithCells="1">
                  <from>
                    <xdr:col>24</xdr:col>
                    <xdr:colOff>76200</xdr:colOff>
                    <xdr:row>8</xdr:row>
                    <xdr:rowOff>0</xdr:rowOff>
                  </from>
                  <to>
                    <xdr:col>25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37" name="Check Box 35">
              <controlPr defaultSize="0" autoFill="0" autoLine="0" autoPict="0">
                <anchor moveWithCells="1">
                  <from>
                    <xdr:col>21</xdr:col>
                    <xdr:colOff>295275</xdr:colOff>
                    <xdr:row>14</xdr:row>
                    <xdr:rowOff>9525</xdr:rowOff>
                  </from>
                  <to>
                    <xdr:col>23</xdr:col>
                    <xdr:colOff>180975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38" name="Check Box 36">
              <controlPr defaultSize="0" autoFill="0" autoLine="0" autoPict="0">
                <anchor moveWithCells="1">
                  <from>
                    <xdr:col>21</xdr:col>
                    <xdr:colOff>95250</xdr:colOff>
                    <xdr:row>10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39" name="Check Box 37">
              <controlPr defaultSize="0" autoFill="0" autoLine="0" autoPict="0">
                <anchor moveWithCells="1">
                  <from>
                    <xdr:col>22</xdr:col>
                    <xdr:colOff>95250</xdr:colOff>
                    <xdr:row>10</xdr:row>
                    <xdr:rowOff>0</xdr:rowOff>
                  </from>
                  <to>
                    <xdr:col>23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40" name="Check Box 38">
              <controlPr defaultSize="0" autoFill="0" autoLine="0" autoPict="0">
                <anchor moveWithCells="1">
                  <from>
                    <xdr:col>23</xdr:col>
                    <xdr:colOff>95250</xdr:colOff>
                    <xdr:row>10</xdr:row>
                    <xdr:rowOff>0</xdr:rowOff>
                  </from>
                  <to>
                    <xdr:col>24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41" name="Check Box 39">
              <controlPr defaultSize="0" autoFill="0" autoLine="0" autoPict="0">
                <anchor moveWithCells="1">
                  <from>
                    <xdr:col>24</xdr:col>
                    <xdr:colOff>95250</xdr:colOff>
                    <xdr:row>10</xdr:row>
                    <xdr:rowOff>0</xdr:rowOff>
                  </from>
                  <to>
                    <xdr:col>25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42" name="Check Box 40">
              <controlPr defaultSize="0" autoFill="0" autoLine="0" autoPict="0">
                <anchor moveWithCells="1">
                  <from>
                    <xdr:col>21</xdr:col>
                    <xdr:colOff>95250</xdr:colOff>
                    <xdr:row>11</xdr:row>
                    <xdr:rowOff>0</xdr:rowOff>
                  </from>
                  <to>
                    <xdr:col>22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43" name="Check Box 41">
              <controlPr defaultSize="0" autoFill="0" autoLine="0" autoPict="0">
                <anchor moveWithCells="1">
                  <from>
                    <xdr:col>21</xdr:col>
                    <xdr:colOff>95250</xdr:colOff>
                    <xdr:row>12</xdr:row>
                    <xdr:rowOff>0</xdr:rowOff>
                  </from>
                  <to>
                    <xdr:col>22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44" name="Check Box 42">
              <controlPr defaultSize="0" autoFill="0" autoLine="0" autoPict="0">
                <anchor moveWithCells="1">
                  <from>
                    <xdr:col>22</xdr:col>
                    <xdr:colOff>95250</xdr:colOff>
                    <xdr:row>12</xdr:row>
                    <xdr:rowOff>0</xdr:rowOff>
                  </from>
                  <to>
                    <xdr:col>23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45" name="Check Box 43">
              <controlPr defaultSize="0" autoFill="0" autoLine="0" autoPict="0">
                <anchor moveWithCells="1">
                  <from>
                    <xdr:col>22</xdr:col>
                    <xdr:colOff>95250</xdr:colOff>
                    <xdr:row>11</xdr:row>
                    <xdr:rowOff>0</xdr:rowOff>
                  </from>
                  <to>
                    <xdr:col>23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46" name="Check Box 44">
              <controlPr defaultSize="0" autoFill="0" autoLine="0" autoPict="0">
                <anchor moveWithCells="1">
                  <from>
                    <xdr:col>23</xdr:col>
                    <xdr:colOff>95250</xdr:colOff>
                    <xdr:row>11</xdr:row>
                    <xdr:rowOff>0</xdr:rowOff>
                  </from>
                  <to>
                    <xdr:col>24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47" name="Check Box 45">
              <controlPr defaultSize="0" autoFill="0" autoLine="0" autoPict="0">
                <anchor moveWithCells="1">
                  <from>
                    <xdr:col>24</xdr:col>
                    <xdr:colOff>95250</xdr:colOff>
                    <xdr:row>11</xdr:row>
                    <xdr:rowOff>0</xdr:rowOff>
                  </from>
                  <to>
                    <xdr:col>25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48" name="Check Box 46">
              <controlPr defaultSize="0" autoFill="0" autoLine="0" autoPict="0">
                <anchor moveWithCells="1">
                  <from>
                    <xdr:col>24</xdr:col>
                    <xdr:colOff>95250</xdr:colOff>
                    <xdr:row>12</xdr:row>
                    <xdr:rowOff>0</xdr:rowOff>
                  </from>
                  <to>
                    <xdr:col>25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49" name="Check Box 47">
              <controlPr defaultSize="0" autoFill="0" autoLine="0" autoPict="0">
                <anchor moveWithCells="1">
                  <from>
                    <xdr:col>23</xdr:col>
                    <xdr:colOff>95250</xdr:colOff>
                    <xdr:row>12</xdr:row>
                    <xdr:rowOff>0</xdr:rowOff>
                  </from>
                  <to>
                    <xdr:col>24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50" name="Button 48">
              <controlPr defaultSize="0" print="0" autoFill="0" autoPict="0" macro="[0]!得点記録">
                <anchor moveWithCells="1" sizeWithCells="1">
                  <from>
                    <xdr:col>33</xdr:col>
                    <xdr:colOff>257175</xdr:colOff>
                    <xdr:row>12</xdr:row>
                    <xdr:rowOff>152400</xdr:rowOff>
                  </from>
                  <to>
                    <xdr:col>35</xdr:col>
                    <xdr:colOff>419100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51" name="Button 49">
              <controlPr defaultSize="0" print="0" autoFill="0" autoPict="0" macro="[0]!記録用紙クリア">
                <anchor moveWithCells="1" sizeWithCells="1">
                  <from>
                    <xdr:col>33</xdr:col>
                    <xdr:colOff>257175</xdr:colOff>
                    <xdr:row>14</xdr:row>
                    <xdr:rowOff>152400</xdr:rowOff>
                  </from>
                  <to>
                    <xdr:col>35</xdr:col>
                    <xdr:colOff>419100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AL20"/>
  <sheetViews>
    <sheetView zoomScaleNormal="100" workbookViewId="0">
      <selection activeCell="W2" sqref="W2:Y2"/>
    </sheetView>
  </sheetViews>
  <sheetFormatPr defaultColWidth="4.125" defaultRowHeight="22.5" customHeight="1" x14ac:dyDescent="0.15"/>
  <cols>
    <col min="1" max="1" width="4.125" customWidth="1"/>
    <col min="2" max="10" width="6.25" customWidth="1"/>
    <col min="11" max="12" width="4.125" customWidth="1"/>
    <col min="13" max="13" width="5" customWidth="1"/>
    <col min="14" max="14" width="6.25" customWidth="1"/>
    <col min="15" max="15" width="9.25" customWidth="1"/>
    <col min="16" max="16" width="6.75" customWidth="1"/>
    <col min="17" max="17" width="5.875" customWidth="1"/>
    <col min="18" max="18" width="4.125" customWidth="1"/>
    <col min="19" max="25" width="5" customWidth="1"/>
    <col min="34" max="37" width="9" customWidth="1"/>
  </cols>
  <sheetData>
    <row r="1" spans="1:38" ht="27" customHeight="1" x14ac:dyDescent="0.45">
      <c r="A1" s="366" t="s">
        <v>139</v>
      </c>
      <c r="B1" s="367"/>
      <c r="C1" s="367"/>
      <c r="D1" s="367"/>
      <c r="E1" s="367"/>
      <c r="F1" s="367"/>
      <c r="G1" s="368"/>
      <c r="H1" s="358" t="s">
        <v>57</v>
      </c>
      <c r="I1" s="359"/>
      <c r="J1" s="369" t="str">
        <f>+IF($AI$10=0,"",IF($AK$10=1,VLOOKUP($AI$10,競技順番!$A$7:$F$14,4),VLOOKUP($AI$10,競技順番!$A$19:$F$26,4)))</f>
        <v>RL06</v>
      </c>
      <c r="K1" s="370"/>
      <c r="L1" s="371"/>
      <c r="M1" s="372" t="s">
        <v>0</v>
      </c>
      <c r="N1" s="373"/>
      <c r="O1" s="374" t="str">
        <f>+IF($AI$10=0,"",IF($AK$10=1,VLOOKUP($AI$10,競技順番!$A$7:$F$14,5),VLOOKUP($AI$10,競技順番!$A$19:$F$26,5)))</f>
        <v>HAYATE</v>
      </c>
      <c r="P1" s="375"/>
      <c r="Q1" s="375"/>
      <c r="R1" s="376"/>
      <c r="T1" s="363" t="s">
        <v>7</v>
      </c>
      <c r="U1" s="364"/>
      <c r="V1" s="365"/>
      <c r="W1" s="377">
        <v>0.25</v>
      </c>
      <c r="X1" s="378"/>
      <c r="Y1" s="379"/>
      <c r="Z1" s="234"/>
      <c r="AA1" s="76"/>
      <c r="AB1" s="76"/>
      <c r="AC1" s="76"/>
    </row>
    <row r="2" spans="1:38" ht="27" customHeight="1" x14ac:dyDescent="0.45">
      <c r="A2" s="355" t="str">
        <f>"ワールドリーグ　レスキュー　" &amp; AK10 &amp;"回目"</f>
        <v>ワールドリーグ　レスキュー　2回目</v>
      </c>
      <c r="B2" s="356"/>
      <c r="C2" s="356"/>
      <c r="D2" s="356"/>
      <c r="E2" s="356"/>
      <c r="F2" s="356"/>
      <c r="G2" s="357"/>
      <c r="H2" s="358" t="s">
        <v>18</v>
      </c>
      <c r="I2" s="359"/>
      <c r="J2" s="360">
        <f>+IF($AI$10=0,"",IF($AK$10=1,VLOOKUP($AI$10,競技順番!$A$7:$F$14,2),VLOOKUP($AI$10,競技順番!$A$19:$F$26,2)))</f>
        <v>0.72361111111111109</v>
      </c>
      <c r="K2" s="361"/>
      <c r="L2" s="362"/>
      <c r="M2" s="218"/>
      <c r="N2" s="219"/>
      <c r="O2" s="374" t="str">
        <f>+IF($AI$10=0,"",IF($AK$10=1,VLOOKUP($AI$10,競技順番!$A$7:$F$14,6),VLOOKUP($AI$10,競技順番!$A$19:$F$26,6)))</f>
        <v>ハヤテ</v>
      </c>
      <c r="P2" s="375"/>
      <c r="Q2" s="375"/>
      <c r="R2" s="376"/>
      <c r="T2" s="363" t="s">
        <v>135</v>
      </c>
      <c r="U2" s="364"/>
      <c r="V2" s="365"/>
      <c r="W2" s="345">
        <f>SUM(R6:R20)+SUM(AB6:AC9)+SUM(AB11:AC13)+IF(V15=TRUE,20,0)</f>
        <v>45</v>
      </c>
      <c r="X2" s="351"/>
      <c r="Y2" s="346"/>
      <c r="Z2" s="348" t="s">
        <v>141</v>
      </c>
      <c r="AA2" s="349"/>
      <c r="AB2" s="345">
        <f>SUM(Z7:AA9)+V14</f>
        <v>20</v>
      </c>
      <c r="AC2" s="346"/>
    </row>
    <row r="3" spans="1:38" ht="11.25" customHeight="1" x14ac:dyDescent="0.15"/>
    <row r="4" spans="1:38" ht="22.5" customHeight="1" x14ac:dyDescent="0.45">
      <c r="B4" s="193" t="s">
        <v>124</v>
      </c>
      <c r="D4" s="193" t="b">
        <v>0</v>
      </c>
      <c r="F4" t="b">
        <v>1</v>
      </c>
      <c r="L4" s="204" t="s">
        <v>106</v>
      </c>
      <c r="S4" s="204" t="s">
        <v>53</v>
      </c>
    </row>
    <row r="5" spans="1:38" ht="22.5" customHeight="1" thickBot="1" x14ac:dyDescent="0.5">
      <c r="B5" s="2" t="s">
        <v>86</v>
      </c>
      <c r="C5" s="2" t="s">
        <v>87</v>
      </c>
      <c r="D5" s="2" t="s">
        <v>88</v>
      </c>
      <c r="E5" s="2" t="s">
        <v>89</v>
      </c>
      <c r="F5" s="2" t="s">
        <v>90</v>
      </c>
      <c r="G5" s="2" t="s">
        <v>91</v>
      </c>
      <c r="H5" s="2" t="s">
        <v>92</v>
      </c>
      <c r="I5" s="2" t="s">
        <v>93</v>
      </c>
      <c r="J5" s="2" t="s">
        <v>94</v>
      </c>
      <c r="L5" s="206"/>
      <c r="M5" s="203" t="s">
        <v>112</v>
      </c>
      <c r="N5" s="339" t="s">
        <v>95</v>
      </c>
      <c r="O5" s="340"/>
      <c r="P5" s="202" t="s">
        <v>1</v>
      </c>
      <c r="Q5" s="202" t="s">
        <v>96</v>
      </c>
      <c r="S5" s="203" t="s">
        <v>120</v>
      </c>
      <c r="T5" s="202" t="s">
        <v>111</v>
      </c>
      <c r="U5" s="203" t="s">
        <v>97</v>
      </c>
      <c r="V5" s="203" t="s">
        <v>98</v>
      </c>
      <c r="W5" s="203" t="s">
        <v>99</v>
      </c>
      <c r="X5" s="203" t="s">
        <v>100</v>
      </c>
      <c r="Y5" s="203" t="s">
        <v>101</v>
      </c>
      <c r="Z5" s="341" t="s">
        <v>110</v>
      </c>
      <c r="AA5" s="342"/>
      <c r="AB5" s="341" t="s">
        <v>1</v>
      </c>
      <c r="AC5" s="342"/>
    </row>
    <row r="6" spans="1:38" ht="37.5" customHeight="1" thickBot="1" x14ac:dyDescent="0.5">
      <c r="A6" s="200">
        <v>1</v>
      </c>
      <c r="B6" s="184"/>
      <c r="C6" s="208"/>
      <c r="D6" s="208"/>
      <c r="E6" s="208"/>
      <c r="F6" s="208"/>
      <c r="G6" s="185"/>
      <c r="H6" s="185"/>
      <c r="I6" s="185"/>
      <c r="J6" s="186"/>
      <c r="L6" s="205">
        <v>1</v>
      </c>
      <c r="M6" s="194" t="s">
        <v>116</v>
      </c>
      <c r="N6" s="195"/>
      <c r="O6" s="207" t="s">
        <v>113</v>
      </c>
      <c r="P6" s="196">
        <v>15</v>
      </c>
      <c r="Q6" s="211" t="b">
        <v>0</v>
      </c>
      <c r="R6" s="222">
        <f t="shared" ref="R6:R20" si="0">IF(Q6=TRUE,P6,0)</f>
        <v>0</v>
      </c>
      <c r="S6" s="199">
        <v>1</v>
      </c>
      <c r="T6" s="197">
        <v>1</v>
      </c>
      <c r="U6" s="212" t="b">
        <v>1</v>
      </c>
      <c r="V6" s="213" t="b">
        <v>0</v>
      </c>
      <c r="W6" s="214" t="b">
        <v>0</v>
      </c>
      <c r="X6" s="214" t="b">
        <v>0</v>
      </c>
      <c r="Y6" s="212" t="b">
        <v>0</v>
      </c>
      <c r="Z6" s="343"/>
      <c r="AA6" s="344"/>
      <c r="AB6" s="333">
        <f>IF(T6&lt;&gt;"",IF(U6=TRUE,T6*5,IF(V6=TRUE,T6*3,IF(W6=TRUE,T6*1,IF(OR(X6=TRUE,Y6=TRUE),0,"")))),"")</f>
        <v>5</v>
      </c>
      <c r="AC6" s="335"/>
      <c r="AH6" s="2" t="s">
        <v>12</v>
      </c>
      <c r="AI6" s="2" t="s">
        <v>13</v>
      </c>
      <c r="AJ6" s="6">
        <v>3</v>
      </c>
    </row>
    <row r="7" spans="1:38" ht="37.5" customHeight="1" thickBot="1" x14ac:dyDescent="0.5">
      <c r="A7" s="200">
        <v>2</v>
      </c>
      <c r="B7" s="187"/>
      <c r="C7" s="209"/>
      <c r="D7" s="209"/>
      <c r="E7" s="209"/>
      <c r="F7" s="209"/>
      <c r="G7" s="188"/>
      <c r="H7" s="188"/>
      <c r="I7" s="188"/>
      <c r="J7" s="189"/>
      <c r="L7" s="205">
        <v>2</v>
      </c>
      <c r="M7" s="194" t="s">
        <v>125</v>
      </c>
      <c r="N7" s="195"/>
      <c r="O7" s="207" t="s">
        <v>76</v>
      </c>
      <c r="P7" s="196">
        <v>5</v>
      </c>
      <c r="Q7" s="211" t="b">
        <v>0</v>
      </c>
      <c r="R7" s="222">
        <f t="shared" si="0"/>
        <v>0</v>
      </c>
      <c r="S7" s="198">
        <v>7</v>
      </c>
      <c r="T7" s="221">
        <f>IF(ISNUMBER(S7),S7-S6,"")</f>
        <v>6</v>
      </c>
      <c r="U7" s="212" t="b">
        <v>0</v>
      </c>
      <c r="V7" s="212" t="b">
        <v>0</v>
      </c>
      <c r="W7" s="212" t="b">
        <v>0</v>
      </c>
      <c r="X7" s="212" t="b">
        <v>0</v>
      </c>
      <c r="Y7" s="212" t="b">
        <v>1</v>
      </c>
      <c r="Z7" s="345">
        <v>3</v>
      </c>
      <c r="AA7" s="346"/>
      <c r="AB7" s="333">
        <f>IF(T7&lt;&gt;"",IF(U7=TRUE,T7*5,IF(V7=TRUE,T7*3,IF(W7=TRUE,T7*1,IF(OR(X7=TRUE,Y7=TRUE),0,"")))),"")</f>
        <v>0</v>
      </c>
      <c r="AC7" s="335"/>
      <c r="AH7" s="2"/>
      <c r="AI7" s="2" t="s">
        <v>14</v>
      </c>
      <c r="AJ7" s="7">
        <v>8</v>
      </c>
    </row>
    <row r="8" spans="1:38" ht="37.5" customHeight="1" x14ac:dyDescent="0.45">
      <c r="A8" s="200">
        <v>3</v>
      </c>
      <c r="B8" s="187"/>
      <c r="C8" s="209"/>
      <c r="D8" s="209"/>
      <c r="E8" s="209"/>
      <c r="F8" s="209"/>
      <c r="G8" s="188"/>
      <c r="H8" s="188"/>
      <c r="I8" s="188"/>
      <c r="J8" s="189"/>
      <c r="L8" s="205">
        <v>3</v>
      </c>
      <c r="M8" s="194" t="s">
        <v>126</v>
      </c>
      <c r="N8" s="195"/>
      <c r="O8" s="207" t="s">
        <v>113</v>
      </c>
      <c r="P8" s="196">
        <v>15</v>
      </c>
      <c r="Q8" s="211" t="b">
        <v>0</v>
      </c>
      <c r="R8" s="222">
        <f t="shared" si="0"/>
        <v>0</v>
      </c>
      <c r="S8" s="198">
        <v>12</v>
      </c>
      <c r="T8" s="221">
        <f>IF(ISNUMBER(S8),S8-S7,"")</f>
        <v>5</v>
      </c>
      <c r="U8" s="212" t="b">
        <v>0</v>
      </c>
      <c r="V8" s="212" t="b">
        <v>0</v>
      </c>
      <c r="W8" s="212" t="b">
        <v>0</v>
      </c>
      <c r="X8" s="212" t="b">
        <v>0</v>
      </c>
      <c r="Y8" s="212" t="b">
        <v>1</v>
      </c>
      <c r="Z8" s="345">
        <v>3</v>
      </c>
      <c r="AA8" s="346"/>
      <c r="AB8" s="333">
        <f>IF(T8&lt;&gt;"",IF(U8=TRUE,T8*5,IF(V8=TRUE,T8*3,IF(W8=TRUE,T8*1,IF(OR(X8=TRUE,Y8=TRUE),0,"")))),"")</f>
        <v>0</v>
      </c>
      <c r="AC8" s="335"/>
    </row>
    <row r="9" spans="1:38" ht="37.5" customHeight="1" x14ac:dyDescent="0.45">
      <c r="A9" s="200">
        <v>4</v>
      </c>
      <c r="B9" s="187"/>
      <c r="C9" s="210"/>
      <c r="D9" s="210"/>
      <c r="E9" s="210"/>
      <c r="F9" s="210"/>
      <c r="G9" s="188"/>
      <c r="H9" s="188"/>
      <c r="I9" s="188"/>
      <c r="J9" s="189"/>
      <c r="L9" s="205">
        <v>4</v>
      </c>
      <c r="M9" s="194" t="s">
        <v>117</v>
      </c>
      <c r="N9" s="195"/>
      <c r="O9" s="207" t="s">
        <v>113</v>
      </c>
      <c r="P9" s="196">
        <v>15</v>
      </c>
      <c r="Q9" s="211" t="b">
        <v>1</v>
      </c>
      <c r="R9" s="222">
        <f t="shared" si="0"/>
        <v>15</v>
      </c>
      <c r="S9" s="198">
        <v>24</v>
      </c>
      <c r="T9" s="221">
        <f>IF(ISNUMBER(S9),S9-S8,"")</f>
        <v>12</v>
      </c>
      <c r="U9" s="212" t="b">
        <v>0</v>
      </c>
      <c r="V9" s="212" t="b">
        <v>0</v>
      </c>
      <c r="W9" s="212" t="b">
        <v>0</v>
      </c>
      <c r="X9" s="212" t="b">
        <v>0</v>
      </c>
      <c r="Y9" s="212" t="b">
        <v>1</v>
      </c>
      <c r="Z9" s="345">
        <v>14</v>
      </c>
      <c r="AA9" s="346"/>
      <c r="AB9" s="333">
        <f>IF(T9&lt;&gt;"",IF(U9=TRUE,T9*5,IF(V9=TRUE,T9*3,IF(W9=TRUE,T9*1,IF(OR(X9=TRUE,Y9=TRUE),0,"")))),"")</f>
        <v>0</v>
      </c>
      <c r="AC9" s="335"/>
    </row>
    <row r="10" spans="1:38" ht="37.5" customHeight="1" x14ac:dyDescent="0.45">
      <c r="A10" s="200">
        <v>5</v>
      </c>
      <c r="B10" s="187"/>
      <c r="C10" s="188"/>
      <c r="D10" s="188"/>
      <c r="E10" s="188"/>
      <c r="F10" s="188"/>
      <c r="G10" s="188"/>
      <c r="H10" s="188"/>
      <c r="I10" s="188"/>
      <c r="J10" s="189"/>
      <c r="L10" s="205">
        <v>5</v>
      </c>
      <c r="M10" s="194" t="s">
        <v>127</v>
      </c>
      <c r="N10" s="195"/>
      <c r="O10" s="207" t="s">
        <v>85</v>
      </c>
      <c r="P10" s="196">
        <v>15</v>
      </c>
      <c r="Q10" s="211" t="b">
        <v>0</v>
      </c>
      <c r="R10" s="222">
        <f t="shared" si="0"/>
        <v>0</v>
      </c>
      <c r="S10" s="204" t="s">
        <v>102</v>
      </c>
      <c r="AB10" s="347" t="s">
        <v>1</v>
      </c>
      <c r="AC10" s="347"/>
      <c r="AH10" s="1" t="s">
        <v>11</v>
      </c>
      <c r="AI10" s="8">
        <v>8</v>
      </c>
      <c r="AJ10" t="s">
        <v>137</v>
      </c>
      <c r="AK10" s="8">
        <v>2</v>
      </c>
      <c r="AL10" t="s">
        <v>15</v>
      </c>
    </row>
    <row r="11" spans="1:38" ht="37.5" customHeight="1" x14ac:dyDescent="0.45">
      <c r="A11" s="200">
        <v>6</v>
      </c>
      <c r="B11" s="187"/>
      <c r="C11" s="188"/>
      <c r="D11" s="188"/>
      <c r="E11" s="188"/>
      <c r="F11" s="188"/>
      <c r="G11" s="188"/>
      <c r="H11" s="188"/>
      <c r="I11" s="188"/>
      <c r="J11" s="189"/>
      <c r="L11" s="205">
        <v>6</v>
      </c>
      <c r="M11" s="194" t="s">
        <v>117</v>
      </c>
      <c r="N11" s="195"/>
      <c r="O11" s="207" t="s">
        <v>113</v>
      </c>
      <c r="P11" s="196">
        <v>15</v>
      </c>
      <c r="Q11" s="211" t="b">
        <v>0</v>
      </c>
      <c r="R11" s="222">
        <f t="shared" si="0"/>
        <v>0</v>
      </c>
      <c r="S11" s="338" t="s">
        <v>103</v>
      </c>
      <c r="T11" s="338"/>
      <c r="U11" s="338"/>
      <c r="V11" s="220" t="b">
        <v>0</v>
      </c>
      <c r="W11" s="223" t="b">
        <v>0</v>
      </c>
      <c r="X11" s="223" t="b">
        <v>0</v>
      </c>
      <c r="Y11" s="224" t="b">
        <v>0</v>
      </c>
      <c r="Z11" s="222">
        <f>COUNTIF(V11:Y11,TRUE)</f>
        <v>0</v>
      </c>
      <c r="AA11" s="201" t="s">
        <v>107</v>
      </c>
      <c r="AB11" s="328">
        <f>IF($D$4=TRUE,MAX(Z11*30 -VALUE($V$14)*5,0),IF($F$4=TRUE,MAX(Z11*40-VALUE($V$14)*5,0),""))</f>
        <v>0</v>
      </c>
      <c r="AC11" s="329"/>
      <c r="AH11" t="s">
        <v>16</v>
      </c>
    </row>
    <row r="12" spans="1:38" ht="37.5" customHeight="1" x14ac:dyDescent="0.45">
      <c r="A12" s="200">
        <v>7</v>
      </c>
      <c r="B12" s="187"/>
      <c r="C12" s="188"/>
      <c r="D12" s="188"/>
      <c r="E12" s="188"/>
      <c r="F12" s="188"/>
      <c r="G12" s="188"/>
      <c r="H12" s="188"/>
      <c r="I12" s="188"/>
      <c r="J12" s="189"/>
      <c r="L12" s="205">
        <v>7</v>
      </c>
      <c r="M12" s="194" t="s">
        <v>128</v>
      </c>
      <c r="N12" s="195"/>
      <c r="O12" s="207" t="s">
        <v>76</v>
      </c>
      <c r="P12" s="196">
        <v>5</v>
      </c>
      <c r="Q12" s="211" t="b">
        <v>0</v>
      </c>
      <c r="R12" s="222">
        <f t="shared" si="0"/>
        <v>0</v>
      </c>
      <c r="S12" s="327" t="s">
        <v>104</v>
      </c>
      <c r="T12" s="327"/>
      <c r="U12" s="327"/>
      <c r="V12" s="220" t="b">
        <v>0</v>
      </c>
      <c r="W12" s="223" t="b">
        <v>0</v>
      </c>
      <c r="X12" s="223" t="b">
        <v>0</v>
      </c>
      <c r="Y12" s="224" t="b">
        <v>0</v>
      </c>
      <c r="Z12" s="222">
        <f t="shared" ref="Z12:Z13" si="1">COUNTIF(V12:Y12,TRUE)</f>
        <v>0</v>
      </c>
      <c r="AA12" s="201" t="s">
        <v>108</v>
      </c>
      <c r="AB12" s="328">
        <f>IF($D$4=TRUE,MAX(Z12*5-VALUE($V$14)*5,0),IF($F$4=TRUE,MAX(Z12*5-VALUE($V$14)*5,0),""))</f>
        <v>0</v>
      </c>
      <c r="AC12" s="329"/>
      <c r="AH12" t="s">
        <v>17</v>
      </c>
    </row>
    <row r="13" spans="1:38" ht="37.5" customHeight="1" x14ac:dyDescent="0.45">
      <c r="A13" s="200">
        <v>8</v>
      </c>
      <c r="B13" s="187"/>
      <c r="C13" s="188"/>
      <c r="D13" s="188"/>
      <c r="E13" s="188"/>
      <c r="F13" s="188"/>
      <c r="G13" s="188"/>
      <c r="H13" s="188"/>
      <c r="I13" s="188"/>
      <c r="J13" s="189"/>
      <c r="L13" s="205">
        <v>8</v>
      </c>
      <c r="M13" s="194" t="s">
        <v>129</v>
      </c>
      <c r="N13" s="195"/>
      <c r="O13" s="207" t="s">
        <v>84</v>
      </c>
      <c r="P13" s="196">
        <v>10</v>
      </c>
      <c r="Q13" s="211" t="b">
        <v>1</v>
      </c>
      <c r="R13" s="222">
        <f t="shared" si="0"/>
        <v>10</v>
      </c>
      <c r="S13" s="327" t="s">
        <v>105</v>
      </c>
      <c r="T13" s="327"/>
      <c r="U13" s="327"/>
      <c r="V13" s="220" t="b">
        <v>0</v>
      </c>
      <c r="W13" s="223" t="b">
        <v>0</v>
      </c>
      <c r="X13" s="223" t="b">
        <v>0</v>
      </c>
      <c r="Y13" s="224" t="b">
        <v>0</v>
      </c>
      <c r="Z13" s="222">
        <f t="shared" si="1"/>
        <v>0</v>
      </c>
      <c r="AA13" s="201" t="s">
        <v>109</v>
      </c>
      <c r="AB13" s="328">
        <f>IF($D$4=TRUE,MAX(Z13*20-VALUE($V$14)*5,0),IF($F$4=TRUE,MAX(Z13*30-VALUE($V$14)*5,0),""))</f>
        <v>0</v>
      </c>
      <c r="AC13" s="329"/>
      <c r="AK13" t="s">
        <v>154</v>
      </c>
    </row>
    <row r="14" spans="1:38" ht="37.5" customHeight="1" x14ac:dyDescent="0.45">
      <c r="A14" s="200">
        <v>9</v>
      </c>
      <c r="B14" s="187"/>
      <c r="C14" s="188"/>
      <c r="D14" s="188"/>
      <c r="E14" s="188"/>
      <c r="F14" s="188"/>
      <c r="G14" s="188"/>
      <c r="H14" s="188"/>
      <c r="I14" s="188"/>
      <c r="J14" s="189"/>
      <c r="L14" s="205">
        <v>9</v>
      </c>
      <c r="M14" s="194" t="s">
        <v>130</v>
      </c>
      <c r="N14" s="195"/>
      <c r="O14" s="207" t="s">
        <v>113</v>
      </c>
      <c r="P14" s="196">
        <v>15</v>
      </c>
      <c r="Q14" s="211" t="b">
        <v>1</v>
      </c>
      <c r="R14" s="222">
        <f t="shared" si="0"/>
        <v>15</v>
      </c>
      <c r="S14" s="330" t="s">
        <v>2</v>
      </c>
      <c r="T14" s="331"/>
      <c r="U14" s="332"/>
      <c r="V14" s="333">
        <v>0</v>
      </c>
      <c r="W14" s="334"/>
      <c r="X14" s="334"/>
      <c r="Y14" s="335"/>
    </row>
    <row r="15" spans="1:38" ht="37.5" customHeight="1" x14ac:dyDescent="0.45">
      <c r="A15" s="200">
        <v>10</v>
      </c>
      <c r="B15" s="187"/>
      <c r="C15" s="188"/>
      <c r="D15" s="188"/>
      <c r="E15" s="188"/>
      <c r="F15" s="188"/>
      <c r="G15" s="188"/>
      <c r="H15" s="188"/>
      <c r="I15" s="188"/>
      <c r="J15" s="189"/>
      <c r="L15" s="205">
        <v>10</v>
      </c>
      <c r="M15" s="194" t="s">
        <v>131</v>
      </c>
      <c r="N15" s="195"/>
      <c r="O15" s="207" t="s">
        <v>114</v>
      </c>
      <c r="P15" s="196">
        <v>5</v>
      </c>
      <c r="Q15" s="211" t="b">
        <v>0</v>
      </c>
      <c r="R15" s="222">
        <f t="shared" si="0"/>
        <v>0</v>
      </c>
      <c r="S15" s="330" t="s">
        <v>136</v>
      </c>
      <c r="T15" s="331"/>
      <c r="U15" s="332"/>
      <c r="V15" s="336" t="b">
        <v>0</v>
      </c>
      <c r="W15" s="337"/>
    </row>
    <row r="16" spans="1:38" ht="37.5" customHeight="1" thickBot="1" x14ac:dyDescent="0.5">
      <c r="A16" s="200">
        <v>11</v>
      </c>
      <c r="B16" s="187"/>
      <c r="C16" s="188"/>
      <c r="D16" s="188"/>
      <c r="E16" s="188"/>
      <c r="F16" s="188"/>
      <c r="G16" s="188"/>
      <c r="H16" s="188"/>
      <c r="I16" s="188"/>
      <c r="J16" s="189"/>
      <c r="L16" s="205">
        <v>11</v>
      </c>
      <c r="M16" s="194" t="s">
        <v>132</v>
      </c>
      <c r="N16" s="195"/>
      <c r="O16" s="207" t="s">
        <v>115</v>
      </c>
      <c r="P16" s="196">
        <v>5</v>
      </c>
      <c r="Q16" s="211" t="b">
        <v>0</v>
      </c>
      <c r="R16" s="222">
        <f t="shared" si="0"/>
        <v>0</v>
      </c>
    </row>
    <row r="17" spans="1:29" ht="37.5" customHeight="1" thickBot="1" x14ac:dyDescent="0.5">
      <c r="A17" s="200">
        <v>12</v>
      </c>
      <c r="B17" s="190"/>
      <c r="C17" s="191"/>
      <c r="D17" s="191"/>
      <c r="E17" s="191"/>
      <c r="F17" s="191"/>
      <c r="G17" s="191"/>
      <c r="H17" s="191"/>
      <c r="I17" s="191"/>
      <c r="J17" s="192"/>
      <c r="L17" s="205">
        <v>12</v>
      </c>
      <c r="M17" s="194" t="s">
        <v>133</v>
      </c>
      <c r="N17" s="195"/>
      <c r="O17" s="207" t="s">
        <v>113</v>
      </c>
      <c r="P17" s="196">
        <v>15</v>
      </c>
      <c r="Q17" s="211" t="b">
        <v>0</v>
      </c>
      <c r="R17" s="222">
        <f t="shared" si="0"/>
        <v>0</v>
      </c>
      <c r="S17" s="324" t="s">
        <v>10</v>
      </c>
      <c r="T17" s="325"/>
      <c r="U17" s="325"/>
      <c r="V17" s="326"/>
      <c r="W17" s="215"/>
      <c r="X17" s="216"/>
      <c r="Y17" s="216"/>
      <c r="Z17" s="216"/>
      <c r="AA17" s="216"/>
      <c r="AB17" s="216"/>
      <c r="AC17" s="217"/>
    </row>
    <row r="18" spans="1:29" ht="37.5" customHeight="1" thickBot="1" x14ac:dyDescent="0.5">
      <c r="L18" s="205">
        <v>13</v>
      </c>
      <c r="M18" s="194" t="s">
        <v>118</v>
      </c>
      <c r="N18" s="195"/>
      <c r="O18" s="207" t="s">
        <v>76</v>
      </c>
      <c r="P18" s="196">
        <v>5</v>
      </c>
      <c r="Q18" s="211" t="b">
        <v>0</v>
      </c>
      <c r="R18" s="222">
        <f t="shared" si="0"/>
        <v>0</v>
      </c>
      <c r="S18" s="324" t="s">
        <v>121</v>
      </c>
      <c r="T18" s="325"/>
      <c r="U18" s="325"/>
      <c r="V18" s="326"/>
      <c r="W18" s="215"/>
      <c r="X18" s="216"/>
      <c r="Y18" s="216"/>
      <c r="Z18" s="216"/>
      <c r="AA18" s="216"/>
      <c r="AB18" s="216"/>
      <c r="AC18" s="217"/>
    </row>
    <row r="19" spans="1:29" ht="37.5" customHeight="1" thickBot="1" x14ac:dyDescent="0.5">
      <c r="L19" s="205">
        <v>14</v>
      </c>
      <c r="M19" s="194" t="s">
        <v>119</v>
      </c>
      <c r="N19" s="195"/>
      <c r="O19" s="207" t="s">
        <v>3</v>
      </c>
      <c r="P19" s="196">
        <v>10</v>
      </c>
      <c r="Q19" s="211" t="b">
        <v>0</v>
      </c>
      <c r="R19" s="222">
        <f t="shared" si="0"/>
        <v>0</v>
      </c>
      <c r="S19" s="324" t="s">
        <v>122</v>
      </c>
      <c r="T19" s="325"/>
      <c r="U19" s="325"/>
      <c r="V19" s="326"/>
      <c r="W19" s="215"/>
      <c r="X19" s="216"/>
      <c r="Y19" s="216"/>
      <c r="Z19" s="216"/>
      <c r="AA19" s="216"/>
      <c r="AB19" s="216"/>
      <c r="AC19" s="217"/>
    </row>
    <row r="20" spans="1:29" ht="37.5" customHeight="1" thickBot="1" x14ac:dyDescent="0.5">
      <c r="L20" s="205">
        <v>15</v>
      </c>
      <c r="M20" s="194" t="s">
        <v>134</v>
      </c>
      <c r="N20" s="195"/>
      <c r="O20" s="207" t="s">
        <v>113</v>
      </c>
      <c r="P20" s="196">
        <v>15</v>
      </c>
      <c r="Q20" s="211" t="b">
        <v>0</v>
      </c>
      <c r="R20" s="222">
        <f t="shared" si="0"/>
        <v>0</v>
      </c>
      <c r="S20" s="324" t="s">
        <v>123</v>
      </c>
      <c r="T20" s="325"/>
      <c r="U20" s="325"/>
      <c r="V20" s="326"/>
      <c r="W20" s="215"/>
      <c r="X20" s="216"/>
      <c r="Y20" s="216"/>
      <c r="Z20" s="216"/>
      <c r="AA20" s="216"/>
      <c r="AB20" s="216"/>
      <c r="AC20" s="217"/>
    </row>
  </sheetData>
  <mergeCells count="41">
    <mergeCell ref="Z2:AA2"/>
    <mergeCell ref="AB2:AC2"/>
    <mergeCell ref="AB10:AC10"/>
    <mergeCell ref="AB11:AC11"/>
    <mergeCell ref="AB12:AC12"/>
    <mergeCell ref="AB5:AC5"/>
    <mergeCell ref="AB6:AC6"/>
    <mergeCell ref="AB7:AC7"/>
    <mergeCell ref="AB8:AC8"/>
    <mergeCell ref="AB13:AC13"/>
    <mergeCell ref="S15:U15"/>
    <mergeCell ref="V15:W15"/>
    <mergeCell ref="S11:U11"/>
    <mergeCell ref="Z9:AA9"/>
    <mergeCell ref="AB9:AC9"/>
    <mergeCell ref="N5:O5"/>
    <mergeCell ref="Z5:AA5"/>
    <mergeCell ref="Z6:AA6"/>
    <mergeCell ref="Z7:AA7"/>
    <mergeCell ref="Z8:AA8"/>
    <mergeCell ref="J2:L2"/>
    <mergeCell ref="A2:G2"/>
    <mergeCell ref="A1:G1"/>
    <mergeCell ref="O1:R1"/>
    <mergeCell ref="T1:V1"/>
    <mergeCell ref="S20:V20"/>
    <mergeCell ref="M1:N1"/>
    <mergeCell ref="H1:I1"/>
    <mergeCell ref="H2:I2"/>
    <mergeCell ref="V14:Y14"/>
    <mergeCell ref="S17:V17"/>
    <mergeCell ref="S18:V18"/>
    <mergeCell ref="S12:U12"/>
    <mergeCell ref="S13:U13"/>
    <mergeCell ref="S14:U14"/>
    <mergeCell ref="J1:L1"/>
    <mergeCell ref="W1:Y1"/>
    <mergeCell ref="O2:R2"/>
    <mergeCell ref="T2:V2"/>
    <mergeCell ref="W2:Y2"/>
    <mergeCell ref="S19:V19"/>
  </mergeCells>
  <phoneticPr fontId="1"/>
  <conditionalFormatting sqref="W2">
    <cfRule type="expression" dxfId="1" priority="2">
      <formula>$W$2=0</formula>
    </cfRule>
  </conditionalFormatting>
  <conditionalFormatting sqref="AB2">
    <cfRule type="expression" dxfId="0" priority="1">
      <formula>$AB$2=0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80" fitToHeight="0" orientation="landscape" r:id="rId1"/>
  <rowBreaks count="1" manualBreakCount="1">
    <brk id="20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defaultSize="0" autoFill="0" autoLine="0" autoPict="0">
                <anchor moveWithCells="1">
                  <from>
                    <xdr:col>3</xdr:col>
                    <xdr:colOff>0</xdr:colOff>
                    <xdr:row>3</xdr:row>
                    <xdr:rowOff>9525</xdr:rowOff>
                  </from>
                  <to>
                    <xdr:col>5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Check Box 3">
              <controlPr defaultSize="0" autoFill="0" autoLine="0" autoPict="0">
                <anchor moveWithCells="1">
                  <from>
                    <xdr:col>5</xdr:col>
                    <xdr:colOff>0</xdr:colOff>
                    <xdr:row>3</xdr:row>
                    <xdr:rowOff>9525</xdr:rowOff>
                  </from>
                  <to>
                    <xdr:col>7</xdr:col>
                    <xdr:colOff>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Check Box 4">
              <controlPr defaultSize="0" autoFill="0" autoLine="0" autoPict="0">
                <anchor moveWithCells="1">
                  <from>
                    <xdr:col>16</xdr:col>
                    <xdr:colOff>104775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Check Box 5">
              <controlPr defaultSize="0" autoFill="0" autoLine="0" autoPict="0">
                <anchor moveWithCells="1">
                  <from>
                    <xdr:col>16</xdr:col>
                    <xdr:colOff>104775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Check Box 6">
              <controlPr defaultSize="0" autoFill="0" autoLine="0" autoPict="0">
                <anchor moveWithCells="1">
                  <from>
                    <xdr:col>16</xdr:col>
                    <xdr:colOff>104775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Check Box 7">
              <controlPr defaultSize="0" autoFill="0" autoLine="0" autoPict="0">
                <anchor moveWithCells="1">
                  <from>
                    <xdr:col>16</xdr:col>
                    <xdr:colOff>104775</xdr:colOff>
                    <xdr:row>7</xdr:row>
                    <xdr:rowOff>476250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Check Box 8">
              <controlPr defaultSize="0" autoFill="0" autoLine="0" autoPict="0">
                <anchor moveWithCells="1">
                  <from>
                    <xdr:col>16</xdr:col>
                    <xdr:colOff>104775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Check Box 9">
              <controlPr defaultSize="0" autoFill="0" autoLine="0" autoPict="0">
                <anchor moveWithCells="1">
                  <from>
                    <xdr:col>16</xdr:col>
                    <xdr:colOff>104775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2" name="Check Box 10">
              <controlPr defaultSize="0" autoFill="0" autoLine="0" autoPict="0">
                <anchor moveWithCells="1">
                  <from>
                    <xdr:col>16</xdr:col>
                    <xdr:colOff>104775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3" name="Check Box 11">
              <controlPr defaultSize="0" autoFill="0" autoLine="0" autoPict="0">
                <anchor moveWithCells="1">
                  <from>
                    <xdr:col>16</xdr:col>
                    <xdr:colOff>104775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4" name="Check Box 12">
              <controlPr defaultSize="0" autoFill="0" autoLine="0" autoPict="0">
                <anchor moveWithCells="1">
                  <from>
                    <xdr:col>16</xdr:col>
                    <xdr:colOff>104775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5" name="Check Box 13">
              <controlPr defaultSize="0" autoFill="0" autoLine="0" autoPict="0">
                <anchor moveWithCells="1">
                  <from>
                    <xdr:col>16</xdr:col>
                    <xdr:colOff>104775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6" name="Check Box 14">
              <controlPr defaultSize="0" autoFill="0" autoLine="0" autoPict="0">
                <anchor moveWithCells="1">
                  <from>
                    <xdr:col>16</xdr:col>
                    <xdr:colOff>104775</xdr:colOff>
                    <xdr:row>14</xdr:row>
                    <xdr:rowOff>476250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7" name="Check Box 15">
              <controlPr defaultSize="0" autoFill="0" autoLine="0" autoPict="0">
                <anchor moveWithCells="1">
                  <from>
                    <xdr:col>16</xdr:col>
                    <xdr:colOff>104775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8" name="Check Box 16">
              <controlPr defaultSize="0" autoFill="0" autoLine="0" autoPict="0">
                <anchor moveWithCells="1">
                  <from>
                    <xdr:col>16</xdr:col>
                    <xdr:colOff>104775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9" name="Check Box 17">
              <controlPr defaultSize="0" autoFill="0" autoLine="0" autoPict="0">
                <anchor moveWithCells="1">
                  <from>
                    <xdr:col>16</xdr:col>
                    <xdr:colOff>104775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0" name="Check Box 18">
              <controlPr defaultSize="0" autoFill="0" autoLine="0" autoPict="0">
                <anchor moveWithCells="1">
                  <from>
                    <xdr:col>16</xdr:col>
                    <xdr:colOff>104775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1" name="Check Box 19">
              <controlPr defaultSize="0" autoFill="0" autoLine="0" autoPict="0">
                <anchor moveWithCells="1">
                  <from>
                    <xdr:col>20</xdr:col>
                    <xdr:colOff>76200</xdr:colOff>
                    <xdr:row>5</xdr:row>
                    <xdr:rowOff>0</xdr:rowOff>
                  </from>
                  <to>
                    <xdr:col>20</xdr:col>
                    <xdr:colOff>381000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2" name="Check Box 20">
              <controlPr defaultSize="0" autoFill="0" autoLine="0" autoPict="0">
                <anchor moveWithCells="1">
                  <from>
                    <xdr:col>20</xdr:col>
                    <xdr:colOff>76200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3" name="Check Box 21">
              <controlPr defaultSize="0" autoFill="0" autoLine="0" autoPict="0">
                <anchor moveWithCells="1">
                  <from>
                    <xdr:col>21</xdr:col>
                    <xdr:colOff>76200</xdr:colOff>
                    <xdr:row>6</xdr:row>
                    <xdr:rowOff>0</xdr:rowOff>
                  </from>
                  <to>
                    <xdr:col>22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4" name="Check Box 22">
              <controlPr defaultSize="0" autoFill="0" autoLine="0" autoPict="0">
                <anchor moveWithCells="1">
                  <from>
                    <xdr:col>22</xdr:col>
                    <xdr:colOff>76200</xdr:colOff>
                    <xdr:row>6</xdr:row>
                    <xdr:rowOff>0</xdr:rowOff>
                  </from>
                  <to>
                    <xdr:col>23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5" name="Check Box 23">
              <controlPr defaultSize="0" autoFill="0" autoLine="0" autoPict="0">
                <anchor moveWithCells="1">
                  <from>
                    <xdr:col>23</xdr:col>
                    <xdr:colOff>76200</xdr:colOff>
                    <xdr:row>6</xdr:row>
                    <xdr:rowOff>0</xdr:rowOff>
                  </from>
                  <to>
                    <xdr:col>24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6" name="Check Box 24">
              <controlPr defaultSize="0" autoFill="0" autoLine="0" autoPict="0">
                <anchor moveWithCells="1">
                  <from>
                    <xdr:col>24</xdr:col>
                    <xdr:colOff>76200</xdr:colOff>
                    <xdr:row>6</xdr:row>
                    <xdr:rowOff>0</xdr:rowOff>
                  </from>
                  <to>
                    <xdr:col>25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7" name="Check Box 25">
              <controlPr defaultSize="0" autoFill="0" autoLine="0" autoPict="0">
                <anchor moveWithCells="1">
                  <from>
                    <xdr:col>24</xdr:col>
                    <xdr:colOff>76200</xdr:colOff>
                    <xdr:row>5</xdr:row>
                    <xdr:rowOff>0</xdr:rowOff>
                  </from>
                  <to>
                    <xdr:col>25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8" name="Check Box 26">
              <controlPr defaultSize="0" autoFill="0" autoLine="0" autoPict="0">
                <anchor moveWithCells="1">
                  <from>
                    <xdr:col>24</xdr:col>
                    <xdr:colOff>76200</xdr:colOff>
                    <xdr:row>7</xdr:row>
                    <xdr:rowOff>0</xdr:rowOff>
                  </from>
                  <to>
                    <xdr:col>25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29" name="Check Box 27">
              <controlPr defaultSize="0" autoFill="0" autoLine="0" autoPict="0">
                <anchor moveWithCells="1">
                  <from>
                    <xdr:col>23</xdr:col>
                    <xdr:colOff>76200</xdr:colOff>
                    <xdr:row>7</xdr:row>
                    <xdr:rowOff>0</xdr:rowOff>
                  </from>
                  <to>
                    <xdr:col>24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0" name="Check Box 28">
              <controlPr defaultSize="0" autoFill="0" autoLine="0" autoPict="0">
                <anchor moveWithCells="1">
                  <from>
                    <xdr:col>22</xdr:col>
                    <xdr:colOff>76200</xdr:colOff>
                    <xdr:row>7</xdr:row>
                    <xdr:rowOff>0</xdr:rowOff>
                  </from>
                  <to>
                    <xdr:col>23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1" name="Check Box 29">
              <controlPr defaultSize="0" autoFill="0" autoLine="0" autoPict="0">
                <anchor moveWithCells="1">
                  <from>
                    <xdr:col>21</xdr:col>
                    <xdr:colOff>76200</xdr:colOff>
                    <xdr:row>7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2" name="Check Box 30">
              <controlPr defaultSize="0" autoFill="0" autoLine="0" autoPict="0">
                <anchor moveWithCells="1">
                  <from>
                    <xdr:col>20</xdr:col>
                    <xdr:colOff>76200</xdr:colOff>
                    <xdr:row>7</xdr:row>
                    <xdr:rowOff>0</xdr:rowOff>
                  </from>
                  <to>
                    <xdr:col>21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3" name="Check Box 31">
              <controlPr defaultSize="0" autoFill="0" autoLine="0" autoPict="0">
                <anchor moveWithCells="1">
                  <from>
                    <xdr:col>20</xdr:col>
                    <xdr:colOff>76200</xdr:colOff>
                    <xdr:row>8</xdr:row>
                    <xdr:rowOff>0</xdr:rowOff>
                  </from>
                  <to>
                    <xdr:col>21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4" name="Check Box 32">
              <controlPr defaultSize="0" autoFill="0" autoLine="0" autoPict="0">
                <anchor moveWithCells="1">
                  <from>
                    <xdr:col>21</xdr:col>
                    <xdr:colOff>76200</xdr:colOff>
                    <xdr:row>8</xdr:row>
                    <xdr:rowOff>0</xdr:rowOff>
                  </from>
                  <to>
                    <xdr:col>22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5" name="Check Box 33">
              <controlPr defaultSize="0" autoFill="0" autoLine="0" autoPict="0">
                <anchor moveWithCells="1">
                  <from>
                    <xdr:col>22</xdr:col>
                    <xdr:colOff>76200</xdr:colOff>
                    <xdr:row>8</xdr:row>
                    <xdr:rowOff>0</xdr:rowOff>
                  </from>
                  <to>
                    <xdr:col>23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6" name="Check Box 34">
              <controlPr defaultSize="0" autoFill="0" autoLine="0" autoPict="0">
                <anchor moveWithCells="1">
                  <from>
                    <xdr:col>23</xdr:col>
                    <xdr:colOff>76200</xdr:colOff>
                    <xdr:row>8</xdr:row>
                    <xdr:rowOff>0</xdr:rowOff>
                  </from>
                  <to>
                    <xdr:col>24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7" name="Check Box 35">
              <controlPr defaultSize="0" autoFill="0" autoLine="0" autoPict="0">
                <anchor moveWithCells="1">
                  <from>
                    <xdr:col>24</xdr:col>
                    <xdr:colOff>76200</xdr:colOff>
                    <xdr:row>8</xdr:row>
                    <xdr:rowOff>0</xdr:rowOff>
                  </from>
                  <to>
                    <xdr:col>25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8" name="Check Box 36">
              <controlPr defaultSize="0" autoFill="0" autoLine="0" autoPict="0">
                <anchor moveWithCells="1">
                  <from>
                    <xdr:col>21</xdr:col>
                    <xdr:colOff>295275</xdr:colOff>
                    <xdr:row>14</xdr:row>
                    <xdr:rowOff>9525</xdr:rowOff>
                  </from>
                  <to>
                    <xdr:col>23</xdr:col>
                    <xdr:colOff>180975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9" name="Check Box 38">
              <controlPr defaultSize="0" autoFill="0" autoLine="0" autoPict="0">
                <anchor moveWithCells="1">
                  <from>
                    <xdr:col>21</xdr:col>
                    <xdr:colOff>95250</xdr:colOff>
                    <xdr:row>10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0" name="Check Box 42">
              <controlPr defaultSize="0" autoFill="0" autoLine="0" autoPict="0">
                <anchor moveWithCells="1">
                  <from>
                    <xdr:col>22</xdr:col>
                    <xdr:colOff>95250</xdr:colOff>
                    <xdr:row>10</xdr:row>
                    <xdr:rowOff>0</xdr:rowOff>
                  </from>
                  <to>
                    <xdr:col>23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1" name="Check Box 43">
              <controlPr defaultSize="0" autoFill="0" autoLine="0" autoPict="0">
                <anchor moveWithCells="1">
                  <from>
                    <xdr:col>23</xdr:col>
                    <xdr:colOff>95250</xdr:colOff>
                    <xdr:row>10</xdr:row>
                    <xdr:rowOff>0</xdr:rowOff>
                  </from>
                  <to>
                    <xdr:col>24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2" name="Check Box 44">
              <controlPr defaultSize="0" autoFill="0" autoLine="0" autoPict="0">
                <anchor moveWithCells="1">
                  <from>
                    <xdr:col>24</xdr:col>
                    <xdr:colOff>95250</xdr:colOff>
                    <xdr:row>10</xdr:row>
                    <xdr:rowOff>0</xdr:rowOff>
                  </from>
                  <to>
                    <xdr:col>25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3" name="Check Box 45">
              <controlPr defaultSize="0" autoFill="0" autoLine="0" autoPict="0">
                <anchor moveWithCells="1">
                  <from>
                    <xdr:col>21</xdr:col>
                    <xdr:colOff>95250</xdr:colOff>
                    <xdr:row>11</xdr:row>
                    <xdr:rowOff>0</xdr:rowOff>
                  </from>
                  <to>
                    <xdr:col>22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4" name="Check Box 46">
              <controlPr defaultSize="0" autoFill="0" autoLine="0" autoPict="0">
                <anchor moveWithCells="1">
                  <from>
                    <xdr:col>21</xdr:col>
                    <xdr:colOff>95250</xdr:colOff>
                    <xdr:row>12</xdr:row>
                    <xdr:rowOff>0</xdr:rowOff>
                  </from>
                  <to>
                    <xdr:col>22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5" name="Check Box 47">
              <controlPr defaultSize="0" autoFill="0" autoLine="0" autoPict="0">
                <anchor moveWithCells="1">
                  <from>
                    <xdr:col>22</xdr:col>
                    <xdr:colOff>95250</xdr:colOff>
                    <xdr:row>12</xdr:row>
                    <xdr:rowOff>0</xdr:rowOff>
                  </from>
                  <to>
                    <xdr:col>23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6" name="Check Box 48">
              <controlPr defaultSize="0" autoFill="0" autoLine="0" autoPict="0">
                <anchor moveWithCells="1">
                  <from>
                    <xdr:col>22</xdr:col>
                    <xdr:colOff>95250</xdr:colOff>
                    <xdr:row>11</xdr:row>
                    <xdr:rowOff>0</xdr:rowOff>
                  </from>
                  <to>
                    <xdr:col>23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7" name="Check Box 49">
              <controlPr defaultSize="0" autoFill="0" autoLine="0" autoPict="0">
                <anchor moveWithCells="1">
                  <from>
                    <xdr:col>23</xdr:col>
                    <xdr:colOff>95250</xdr:colOff>
                    <xdr:row>11</xdr:row>
                    <xdr:rowOff>0</xdr:rowOff>
                  </from>
                  <to>
                    <xdr:col>24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48" name="Check Box 50">
              <controlPr defaultSize="0" autoFill="0" autoLine="0" autoPict="0">
                <anchor moveWithCells="1">
                  <from>
                    <xdr:col>24</xdr:col>
                    <xdr:colOff>95250</xdr:colOff>
                    <xdr:row>11</xdr:row>
                    <xdr:rowOff>0</xdr:rowOff>
                  </from>
                  <to>
                    <xdr:col>25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49" name="Check Box 51">
              <controlPr defaultSize="0" autoFill="0" autoLine="0" autoPict="0">
                <anchor moveWithCells="1">
                  <from>
                    <xdr:col>24</xdr:col>
                    <xdr:colOff>95250</xdr:colOff>
                    <xdr:row>12</xdr:row>
                    <xdr:rowOff>0</xdr:rowOff>
                  </from>
                  <to>
                    <xdr:col>25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0" name="Check Box 52">
              <controlPr defaultSize="0" autoFill="0" autoLine="0" autoPict="0">
                <anchor moveWithCells="1">
                  <from>
                    <xdr:col>23</xdr:col>
                    <xdr:colOff>95250</xdr:colOff>
                    <xdr:row>12</xdr:row>
                    <xdr:rowOff>0</xdr:rowOff>
                  </from>
                  <to>
                    <xdr:col>24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1" name="Button 54">
              <controlPr defaultSize="0" print="0" autoFill="0" autoPict="0" macro="[0]!得点記録">
                <anchor moveWithCells="1" sizeWithCells="1">
                  <from>
                    <xdr:col>33</xdr:col>
                    <xdr:colOff>257175</xdr:colOff>
                    <xdr:row>12</xdr:row>
                    <xdr:rowOff>152400</xdr:rowOff>
                  </from>
                  <to>
                    <xdr:col>35</xdr:col>
                    <xdr:colOff>419100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2" name="Button 55">
              <controlPr defaultSize="0" print="0" autoFill="0" autoPict="0" macro="[0]!記録用紙クリア">
                <anchor moveWithCells="1" sizeWithCells="1">
                  <from>
                    <xdr:col>33</xdr:col>
                    <xdr:colOff>257175</xdr:colOff>
                    <xdr:row>14</xdr:row>
                    <xdr:rowOff>152400</xdr:rowOff>
                  </from>
                  <to>
                    <xdr:col>35</xdr:col>
                    <xdr:colOff>419100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>
    <pageSetUpPr fitToPage="1"/>
  </sheetPr>
  <dimension ref="A1:M12"/>
  <sheetViews>
    <sheetView workbookViewId="0">
      <selection activeCell="A2" sqref="A2"/>
    </sheetView>
  </sheetViews>
  <sheetFormatPr defaultRowHeight="13.5" x14ac:dyDescent="0.15"/>
  <cols>
    <col min="1" max="1" width="6.625" style="11" customWidth="1"/>
    <col min="2" max="2" width="22" style="12" customWidth="1"/>
    <col min="3" max="5" width="11.25" style="11" customWidth="1"/>
    <col min="6" max="6" width="13.125" style="11" customWidth="1"/>
    <col min="7" max="13" width="8.875" style="11" customWidth="1"/>
    <col min="14" max="16384" width="9" style="11"/>
  </cols>
  <sheetData>
    <row r="1" spans="1:13" ht="35.25" customHeight="1" x14ac:dyDescent="0.15">
      <c r="A1" s="319" t="s">
        <v>138</v>
      </c>
      <c r="B1" s="81"/>
      <c r="C1" s="81"/>
      <c r="E1" s="82"/>
      <c r="F1" s="82"/>
      <c r="G1" s="82"/>
      <c r="H1" s="82" t="s">
        <v>52</v>
      </c>
      <c r="I1" s="82"/>
      <c r="J1" s="82"/>
      <c r="K1" s="82"/>
    </row>
    <row r="2" spans="1:13" ht="6.75" customHeight="1" thickBot="1" x14ac:dyDescent="0.2"/>
    <row r="3" spans="1:13" s="12" customFormat="1" ht="28.5" customHeight="1" x14ac:dyDescent="0.15">
      <c r="A3" s="380"/>
      <c r="B3" s="382" t="s">
        <v>19</v>
      </c>
      <c r="C3" s="58" t="s">
        <v>20</v>
      </c>
      <c r="D3" s="59" t="s">
        <v>46</v>
      </c>
      <c r="E3" s="60" t="s">
        <v>47</v>
      </c>
      <c r="F3" s="61" t="s">
        <v>21</v>
      </c>
      <c r="G3" s="62" t="s">
        <v>22</v>
      </c>
      <c r="H3" s="63" t="s">
        <v>23</v>
      </c>
      <c r="I3" s="63" t="s">
        <v>24</v>
      </c>
      <c r="J3" s="63" t="s">
        <v>25</v>
      </c>
      <c r="K3" s="64" t="s">
        <v>26</v>
      </c>
      <c r="L3" s="63" t="s">
        <v>27</v>
      </c>
      <c r="M3" s="65" t="s">
        <v>28</v>
      </c>
    </row>
    <row r="4" spans="1:13" s="12" customFormat="1" ht="28.5" customHeight="1" thickBot="1" x14ac:dyDescent="0.2">
      <c r="A4" s="381"/>
      <c r="B4" s="383"/>
      <c r="C4" s="66" t="s">
        <v>29</v>
      </c>
      <c r="D4" s="67" t="s">
        <v>29</v>
      </c>
      <c r="E4" s="67" t="s">
        <v>29</v>
      </c>
      <c r="F4" s="68" t="s">
        <v>30</v>
      </c>
      <c r="G4" s="66" t="s">
        <v>31</v>
      </c>
      <c r="H4" s="66" t="s">
        <v>31</v>
      </c>
      <c r="I4" s="66" t="s">
        <v>31</v>
      </c>
      <c r="J4" s="66" t="s">
        <v>31</v>
      </c>
      <c r="K4" s="69" t="s">
        <v>31</v>
      </c>
      <c r="L4" s="67" t="s">
        <v>31</v>
      </c>
      <c r="M4" s="70" t="s">
        <v>31</v>
      </c>
    </row>
    <row r="5" spans="1:13" ht="30" customHeight="1" thickTop="1" x14ac:dyDescent="0.15">
      <c r="A5" s="71" t="str">
        <f>+チーム一覧!C5</f>
        <v>RN01</v>
      </c>
      <c r="B5" s="72" t="str">
        <f>+チーム一覧!D5</f>
        <v>チームおゆみ野</v>
      </c>
      <c r="C5" s="37"/>
      <c r="D5" s="38"/>
      <c r="E5" s="39"/>
      <c r="F5" s="40"/>
      <c r="G5" s="37"/>
      <c r="H5" s="38"/>
      <c r="I5" s="38"/>
      <c r="J5" s="38"/>
      <c r="K5" s="41"/>
      <c r="L5" s="38"/>
      <c r="M5" s="42"/>
    </row>
    <row r="6" spans="1:13" ht="30" customHeight="1" x14ac:dyDescent="0.15">
      <c r="A6" s="73" t="str">
        <f>+チーム一覧!C6</f>
        <v>RN02</v>
      </c>
      <c r="B6" s="74" t="e">
        <f>+チーム一覧!#REF!</f>
        <v>#REF!</v>
      </c>
      <c r="C6" s="13"/>
      <c r="D6" s="14"/>
      <c r="E6" s="35"/>
      <c r="F6" s="16"/>
      <c r="G6" s="13"/>
      <c r="H6" s="14"/>
      <c r="I6" s="14"/>
      <c r="J6" s="14"/>
      <c r="K6" s="15"/>
      <c r="L6" s="14"/>
      <c r="M6" s="17"/>
    </row>
    <row r="7" spans="1:13" ht="30" customHeight="1" x14ac:dyDescent="0.15">
      <c r="A7" s="73" t="str">
        <f>+チーム一覧!C7</f>
        <v>RL01</v>
      </c>
      <c r="B7" s="74" t="str">
        <f>+チーム一覧!D7</f>
        <v>まくすうぇる</v>
      </c>
      <c r="C7" s="13"/>
      <c r="D7" s="14"/>
      <c r="E7" s="35"/>
      <c r="F7" s="16"/>
      <c r="G7" s="13"/>
      <c r="H7" s="14"/>
      <c r="I7" s="14"/>
      <c r="J7" s="14"/>
      <c r="K7" s="15"/>
      <c r="L7" s="14"/>
      <c r="M7" s="17"/>
    </row>
    <row r="8" spans="1:13" ht="30" customHeight="1" x14ac:dyDescent="0.15">
      <c r="A8" s="73" t="str">
        <f>+チーム一覧!C8</f>
        <v>RL02</v>
      </c>
      <c r="B8" s="74" t="str">
        <f>+チーム一覧!D8</f>
        <v>ぱうり</v>
      </c>
      <c r="C8" s="13"/>
      <c r="D8" s="14"/>
      <c r="E8" s="35"/>
      <c r="F8" s="16"/>
      <c r="G8" s="13"/>
      <c r="H8" s="14"/>
      <c r="I8" s="14"/>
      <c r="J8" s="14"/>
      <c r="K8" s="15"/>
      <c r="L8" s="14"/>
      <c r="M8" s="17"/>
    </row>
    <row r="9" spans="1:13" ht="30" customHeight="1" x14ac:dyDescent="0.15">
      <c r="A9" s="73" t="str">
        <f>+チーム一覧!C9</f>
        <v>RL03</v>
      </c>
      <c r="B9" s="74" t="str">
        <f>+チーム一覧!D9</f>
        <v>おいらぁ</v>
      </c>
      <c r="C9" s="13"/>
      <c r="D9" s="14"/>
      <c r="E9" s="35"/>
      <c r="F9" s="16"/>
      <c r="G9" s="13"/>
      <c r="H9" s="14"/>
      <c r="I9" s="14"/>
      <c r="J9" s="14"/>
      <c r="K9" s="15"/>
      <c r="L9" s="14"/>
      <c r="M9" s="17"/>
    </row>
    <row r="10" spans="1:13" ht="30" customHeight="1" x14ac:dyDescent="0.15">
      <c r="A10" s="73" t="str">
        <f>+チーム一覧!C10</f>
        <v>RL04</v>
      </c>
      <c r="B10" s="74" t="str">
        <f>+チーム一覧!D10</f>
        <v>わとそん</v>
      </c>
      <c r="C10" s="13"/>
      <c r="D10" s="14"/>
      <c r="E10" s="35"/>
      <c r="F10" s="16"/>
      <c r="G10" s="13"/>
      <c r="H10" s="14"/>
      <c r="I10" s="14"/>
      <c r="J10" s="14"/>
      <c r="K10" s="15"/>
      <c r="L10" s="14"/>
      <c r="M10" s="17"/>
    </row>
    <row r="11" spans="1:13" ht="30" customHeight="1" x14ac:dyDescent="0.15">
      <c r="A11" s="73" t="str">
        <f>+チーム一覧!C11</f>
        <v>RL05</v>
      </c>
      <c r="B11" s="74" t="str">
        <f>+チーム一覧!D11</f>
        <v>県千葉GSU</v>
      </c>
      <c r="C11" s="13"/>
      <c r="D11" s="14"/>
      <c r="E11" s="35"/>
      <c r="F11" s="16"/>
      <c r="G11" s="13"/>
      <c r="H11" s="14"/>
      <c r="I11" s="14"/>
      <c r="J11" s="14"/>
      <c r="K11" s="15"/>
      <c r="L11" s="14"/>
      <c r="M11" s="17"/>
    </row>
    <row r="12" spans="1:13" ht="30" customHeight="1" thickBot="1" x14ac:dyDescent="0.2">
      <c r="A12" s="131" t="str">
        <f>+チーム一覧!C12</f>
        <v>RL06</v>
      </c>
      <c r="B12" s="132" t="str">
        <f>+チーム一覧!D12</f>
        <v>HAYATE</v>
      </c>
      <c r="C12" s="133"/>
      <c r="D12" s="134"/>
      <c r="E12" s="135"/>
      <c r="F12" s="136"/>
      <c r="G12" s="133"/>
      <c r="H12" s="134"/>
      <c r="I12" s="134"/>
      <c r="J12" s="134"/>
      <c r="K12" s="137"/>
      <c r="L12" s="134"/>
      <c r="M12" s="138"/>
    </row>
  </sheetData>
  <mergeCells count="2">
    <mergeCell ref="A3:A4"/>
    <mergeCell ref="B3:B4"/>
  </mergeCells>
  <phoneticPr fontId="1"/>
  <pageMargins left="0.59055118110236227" right="0.59055118110236227" top="0.59055118110236227" bottom="0.59055118110236227" header="0.51181102362204722" footer="0.51181102362204722"/>
  <pageSetup paperSize="9" scale="99" orientation="landscape" horizontalDpi="1200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N28"/>
  <sheetViews>
    <sheetView zoomScaleNormal="100" workbookViewId="0">
      <selection activeCell="J2" sqref="J2"/>
    </sheetView>
  </sheetViews>
  <sheetFormatPr defaultRowHeight="13.5" x14ac:dyDescent="0.15"/>
  <cols>
    <col min="1" max="1" width="9" style="11"/>
    <col min="2" max="2" width="10" style="11" customWidth="1"/>
    <col min="3" max="9" width="9" style="11"/>
    <col min="10" max="10" width="7.375" style="11" customWidth="1"/>
    <col min="11" max="16384" width="9" style="11"/>
  </cols>
  <sheetData>
    <row r="1" spans="1:10" ht="45.75" customHeight="1" x14ac:dyDescent="0.15">
      <c r="A1" s="232" t="s">
        <v>138</v>
      </c>
      <c r="B1" s="18"/>
      <c r="C1" s="18"/>
      <c r="D1" s="18"/>
      <c r="E1" s="18"/>
      <c r="F1" s="18"/>
      <c r="G1" s="18"/>
      <c r="H1" s="18"/>
      <c r="I1" s="18"/>
      <c r="J1" s="19" t="s">
        <v>155</v>
      </c>
    </row>
    <row r="2" spans="1:10" ht="3" customHeight="1" x14ac:dyDescent="0.15"/>
    <row r="3" spans="1:10" ht="26.25" customHeight="1" x14ac:dyDescent="0.15">
      <c r="A3" s="405" t="s">
        <v>51</v>
      </c>
      <c r="B3" s="405"/>
      <c r="C3" s="405"/>
      <c r="D3" s="405"/>
      <c r="E3" s="405"/>
      <c r="F3" s="405"/>
      <c r="G3" s="405"/>
      <c r="H3" s="405"/>
      <c r="I3" s="405"/>
      <c r="J3" s="405"/>
    </row>
    <row r="4" spans="1:10" ht="6" customHeight="1" thickBot="1" x14ac:dyDescent="0.2">
      <c r="A4" s="20"/>
      <c r="B4" s="20"/>
    </row>
    <row r="5" spans="1:10" ht="42" customHeight="1" thickBot="1" x14ac:dyDescent="0.2">
      <c r="A5" s="21" t="s">
        <v>4</v>
      </c>
      <c r="B5" s="406"/>
      <c r="C5" s="407"/>
      <c r="D5" s="408" t="s">
        <v>0</v>
      </c>
      <c r="E5" s="406"/>
      <c r="F5" s="402"/>
      <c r="G5" s="403"/>
      <c r="H5" s="403"/>
      <c r="I5" s="403"/>
      <c r="J5" s="404"/>
    </row>
    <row r="6" spans="1:10" ht="6" customHeight="1" x14ac:dyDescent="0.15">
      <c r="A6" s="20"/>
      <c r="B6" s="20"/>
    </row>
    <row r="7" spans="1:10" ht="17.25" customHeight="1" x14ac:dyDescent="0.15">
      <c r="A7" s="393" t="s">
        <v>32</v>
      </c>
      <c r="B7" s="393"/>
      <c r="C7" s="393"/>
      <c r="D7" s="393"/>
      <c r="E7" s="393"/>
      <c r="F7" s="393"/>
      <c r="G7" s="393"/>
      <c r="H7" s="393"/>
      <c r="I7" s="393"/>
      <c r="J7" s="393"/>
    </row>
    <row r="8" spans="1:10" ht="17.25" customHeight="1" x14ac:dyDescent="0.15">
      <c r="A8" s="393" t="s">
        <v>33</v>
      </c>
      <c r="B8" s="393"/>
      <c r="C8" s="393"/>
      <c r="D8" s="393"/>
      <c r="E8" s="393"/>
      <c r="F8" s="393"/>
      <c r="G8" s="393"/>
      <c r="H8" s="393"/>
      <c r="I8" s="393"/>
      <c r="J8" s="393"/>
    </row>
    <row r="9" spans="1:10" ht="17.25" customHeight="1" x14ac:dyDescent="0.15">
      <c r="A9" s="393" t="s">
        <v>34</v>
      </c>
      <c r="B9" s="393"/>
      <c r="C9" s="393"/>
      <c r="D9" s="393"/>
      <c r="E9" s="393"/>
      <c r="F9" s="393"/>
      <c r="G9" s="393"/>
      <c r="H9" s="393"/>
      <c r="I9" s="393"/>
      <c r="J9" s="393"/>
    </row>
    <row r="10" spans="1:10" ht="17.25" customHeight="1" x14ac:dyDescent="0.15">
      <c r="A10" s="393" t="s">
        <v>50</v>
      </c>
      <c r="B10" s="393"/>
      <c r="C10" s="393"/>
      <c r="D10" s="393"/>
      <c r="E10" s="393"/>
      <c r="F10" s="393"/>
      <c r="G10" s="393"/>
      <c r="H10" s="393"/>
      <c r="I10" s="393"/>
      <c r="J10" s="393"/>
    </row>
    <row r="11" spans="1:10" ht="9" customHeight="1" x14ac:dyDescent="0.15"/>
    <row r="12" spans="1:10" ht="23.25" customHeight="1" thickBot="1" x14ac:dyDescent="0.2">
      <c r="A12" s="394" t="s">
        <v>35</v>
      </c>
      <c r="B12" s="393"/>
      <c r="C12" s="393"/>
      <c r="D12" s="393"/>
      <c r="E12" s="393"/>
      <c r="F12" s="393"/>
      <c r="G12" s="393"/>
      <c r="H12" s="393"/>
      <c r="I12" s="393"/>
      <c r="J12" s="393"/>
    </row>
    <row r="13" spans="1:10" s="23" customFormat="1" ht="24" customHeight="1" thickBot="1" x14ac:dyDescent="0.2">
      <c r="A13" s="395" t="s">
        <v>6</v>
      </c>
      <c r="B13" s="396"/>
      <c r="C13" s="22" t="s">
        <v>36</v>
      </c>
      <c r="D13" s="396" t="s">
        <v>37</v>
      </c>
      <c r="E13" s="396"/>
      <c r="F13" s="396"/>
      <c r="G13" s="396"/>
      <c r="H13" s="396"/>
      <c r="I13" s="396"/>
      <c r="J13" s="397"/>
    </row>
    <row r="14" spans="1:10" s="23" customFormat="1" ht="40.5" customHeight="1" x14ac:dyDescent="0.15">
      <c r="A14" s="398" t="s">
        <v>38</v>
      </c>
      <c r="B14" s="399"/>
      <c r="C14" s="24"/>
      <c r="D14" s="400" t="s">
        <v>68</v>
      </c>
      <c r="E14" s="400"/>
      <c r="F14" s="400"/>
      <c r="G14" s="400"/>
      <c r="H14" s="400"/>
      <c r="I14" s="400"/>
      <c r="J14" s="401"/>
    </row>
    <row r="15" spans="1:10" s="23" customFormat="1" ht="40.5" customHeight="1" x14ac:dyDescent="0.15">
      <c r="A15" s="389" t="s">
        <v>48</v>
      </c>
      <c r="B15" s="390"/>
      <c r="C15" s="33"/>
      <c r="D15" s="391" t="s">
        <v>67</v>
      </c>
      <c r="E15" s="391"/>
      <c r="F15" s="391"/>
      <c r="G15" s="391"/>
      <c r="H15" s="391"/>
      <c r="I15" s="391"/>
      <c r="J15" s="392"/>
    </row>
    <row r="16" spans="1:10" s="23" customFormat="1" ht="40.5" customHeight="1" thickBot="1" x14ac:dyDescent="0.2">
      <c r="A16" s="384" t="s">
        <v>49</v>
      </c>
      <c r="B16" s="385"/>
      <c r="C16" s="34"/>
      <c r="D16" s="386" t="s">
        <v>45</v>
      </c>
      <c r="E16" s="387"/>
      <c r="F16" s="387"/>
      <c r="G16" s="387"/>
      <c r="H16" s="387"/>
      <c r="I16" s="387"/>
      <c r="J16" s="388"/>
    </row>
    <row r="17" spans="1:14" s="23" customFormat="1" ht="10.5" customHeight="1" x14ac:dyDescent="0.15">
      <c r="A17" s="25"/>
      <c r="B17" s="25"/>
      <c r="C17" s="26"/>
      <c r="D17" s="27"/>
      <c r="E17" s="27"/>
      <c r="F17" s="27"/>
      <c r="G17" s="27"/>
      <c r="H17" s="27"/>
      <c r="I17" s="27"/>
      <c r="J17" s="27"/>
    </row>
    <row r="18" spans="1:14" ht="23.25" customHeight="1" x14ac:dyDescent="0.15">
      <c r="A18" s="394" t="s">
        <v>39</v>
      </c>
      <c r="B18" s="393"/>
      <c r="C18" s="393"/>
      <c r="D18" s="393"/>
      <c r="E18" s="393"/>
      <c r="F18" s="393"/>
      <c r="G18" s="393"/>
      <c r="H18" s="393"/>
      <c r="I18" s="393"/>
      <c r="J18" s="393"/>
    </row>
    <row r="19" spans="1:14" s="23" customFormat="1" ht="23.25" customHeight="1" x14ac:dyDescent="0.15">
      <c r="A19" s="416" t="s">
        <v>40</v>
      </c>
      <c r="B19" s="416"/>
      <c r="C19" s="416"/>
      <c r="D19" s="416"/>
      <c r="E19" s="416"/>
      <c r="F19" s="416"/>
      <c r="G19" s="416"/>
      <c r="H19" s="416"/>
      <c r="I19" s="416"/>
      <c r="J19" s="416"/>
    </row>
    <row r="20" spans="1:14" s="23" customFormat="1" ht="114" customHeight="1" x14ac:dyDescent="0.15">
      <c r="A20" s="410"/>
      <c r="B20" s="411"/>
      <c r="C20" s="411"/>
      <c r="D20" s="411"/>
      <c r="E20" s="411"/>
      <c r="F20" s="411"/>
      <c r="G20" s="411"/>
      <c r="H20" s="411"/>
      <c r="I20" s="411"/>
      <c r="J20" s="412"/>
    </row>
    <row r="21" spans="1:14" s="23" customFormat="1" ht="23.25" customHeight="1" x14ac:dyDescent="0.15">
      <c r="A21" s="417" t="s">
        <v>41</v>
      </c>
      <c r="B21" s="417"/>
      <c r="C21" s="417"/>
      <c r="D21" s="417"/>
      <c r="E21" s="417"/>
      <c r="F21" s="417"/>
      <c r="G21" s="417"/>
      <c r="H21" s="417"/>
      <c r="I21" s="417"/>
      <c r="J21" s="417"/>
    </row>
    <row r="22" spans="1:14" s="23" customFormat="1" ht="114" customHeight="1" x14ac:dyDescent="0.15">
      <c r="A22" s="413"/>
      <c r="B22" s="414"/>
      <c r="C22" s="414"/>
      <c r="D22" s="414"/>
      <c r="E22" s="414"/>
      <c r="F22" s="414"/>
      <c r="G22" s="414"/>
      <c r="H22" s="414"/>
      <c r="I22" s="414"/>
      <c r="J22" s="415"/>
      <c r="N22" s="28"/>
    </row>
    <row r="23" spans="1:14" s="23" customFormat="1" ht="8.25" customHeight="1" thickBot="1" x14ac:dyDescent="0.2">
      <c r="A23" s="29"/>
      <c r="B23" s="29"/>
      <c r="C23" s="30"/>
      <c r="D23" s="29"/>
      <c r="E23" s="29"/>
      <c r="F23" s="29"/>
      <c r="G23" s="29"/>
      <c r="H23" s="29"/>
      <c r="I23" s="29"/>
      <c r="J23" s="29"/>
    </row>
    <row r="24" spans="1:14" s="23" customFormat="1" ht="31.5" customHeight="1" thickBot="1" x14ac:dyDescent="0.2">
      <c r="A24" s="418" t="s">
        <v>42</v>
      </c>
      <c r="B24" s="419"/>
      <c r="C24" s="419"/>
      <c r="D24" s="419"/>
      <c r="E24" s="419"/>
      <c r="F24" s="420" t="s">
        <v>43</v>
      </c>
      <c r="G24" s="420"/>
      <c r="H24" s="420"/>
      <c r="I24" s="420"/>
      <c r="J24" s="421"/>
    </row>
    <row r="25" spans="1:14" ht="5.25" customHeight="1" x14ac:dyDescent="0.15"/>
    <row r="26" spans="1:14" ht="27" customHeight="1" x14ac:dyDescent="0.15">
      <c r="A26" s="409" t="s">
        <v>44</v>
      </c>
      <c r="B26" s="409"/>
      <c r="C26" s="409"/>
      <c r="D26" s="409"/>
      <c r="E26" s="409"/>
      <c r="F26" s="409"/>
      <c r="G26" s="409"/>
      <c r="H26" s="409"/>
      <c r="I26" s="409"/>
      <c r="J26" s="409"/>
    </row>
    <row r="27" spans="1:14" s="12" customFormat="1" ht="27" customHeight="1" x14ac:dyDescent="0.15">
      <c r="A27" s="31">
        <v>1</v>
      </c>
      <c r="B27" s="31">
        <v>2</v>
      </c>
      <c r="C27" s="31">
        <v>3</v>
      </c>
      <c r="D27" s="31">
        <v>4</v>
      </c>
      <c r="E27" s="31">
        <v>5</v>
      </c>
      <c r="F27" s="31">
        <v>6</v>
      </c>
      <c r="G27" s="31">
        <v>7</v>
      </c>
      <c r="H27" s="31">
        <v>8</v>
      </c>
      <c r="I27" s="31">
        <v>9</v>
      </c>
      <c r="J27" s="31">
        <v>10</v>
      </c>
    </row>
    <row r="28" spans="1:14" ht="52.5" customHeight="1" x14ac:dyDescent="0.15">
      <c r="A28" s="32"/>
      <c r="B28" s="32"/>
      <c r="C28" s="32"/>
      <c r="D28" s="32"/>
      <c r="E28" s="32"/>
      <c r="F28" s="32"/>
      <c r="G28" s="32"/>
      <c r="H28" s="32"/>
      <c r="I28" s="32"/>
      <c r="J28" s="32"/>
    </row>
  </sheetData>
  <mergeCells count="26">
    <mergeCell ref="A26:J26"/>
    <mergeCell ref="A18:J18"/>
    <mergeCell ref="A20:J20"/>
    <mergeCell ref="A22:J22"/>
    <mergeCell ref="A19:J19"/>
    <mergeCell ref="A21:J21"/>
    <mergeCell ref="A24:B24"/>
    <mergeCell ref="C24:E24"/>
    <mergeCell ref="F24:J24"/>
    <mergeCell ref="F5:J5"/>
    <mergeCell ref="A3:J3"/>
    <mergeCell ref="B5:C5"/>
    <mergeCell ref="D5:E5"/>
    <mergeCell ref="A7:J7"/>
    <mergeCell ref="A8:J8"/>
    <mergeCell ref="A12:J12"/>
    <mergeCell ref="A13:B13"/>
    <mergeCell ref="D13:J13"/>
    <mergeCell ref="A14:B14"/>
    <mergeCell ref="D14:J14"/>
    <mergeCell ref="A9:J9"/>
    <mergeCell ref="A16:B16"/>
    <mergeCell ref="D16:J16"/>
    <mergeCell ref="A15:B15"/>
    <mergeCell ref="D15:J15"/>
    <mergeCell ref="A10:J10"/>
  </mergeCells>
  <phoneticPr fontId="1"/>
  <pageMargins left="0.59055118110236227" right="0.59055118110236227" top="0.59055118110236227" bottom="0.59055118110236227" header="0.51181102362204722" footer="0.51181102362204722"/>
  <pageSetup paperSize="9" orientation="portrait" horizontalDpi="1200" verticalDpi="12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BC28"/>
  <sheetViews>
    <sheetView topLeftCell="A2" workbookViewId="0">
      <selection activeCell="N21" sqref="N21"/>
    </sheetView>
  </sheetViews>
  <sheetFormatPr defaultRowHeight="13.5" x14ac:dyDescent="0.15"/>
  <cols>
    <col min="1" max="1" width="3.125" customWidth="1"/>
    <col min="3" max="3" width="6" customWidth="1"/>
    <col min="4" max="4" width="18.125" customWidth="1"/>
    <col min="5" max="5" width="9" bestFit="1" customWidth="1"/>
    <col min="6" max="13" width="7.5" customWidth="1"/>
    <col min="14" max="17" width="6.5" customWidth="1"/>
    <col min="18" max="50" width="3.625" customWidth="1"/>
    <col min="51" max="51" width="4.375" customWidth="1"/>
    <col min="52" max="55" width="4.625" customWidth="1"/>
    <col min="56" max="57" width="3.625" customWidth="1"/>
    <col min="58" max="58" width="6.5" customWidth="1"/>
    <col min="59" max="59" width="5.625" customWidth="1"/>
    <col min="60" max="61" width="4.625" customWidth="1"/>
  </cols>
  <sheetData>
    <row r="1" spans="1:55" ht="55.5" x14ac:dyDescent="0.15">
      <c r="B1" s="232" t="s">
        <v>138</v>
      </c>
    </row>
    <row r="2" spans="1:55" ht="14.25" thickBot="1" x14ac:dyDescent="0.2">
      <c r="BA2">
        <v>40</v>
      </c>
      <c r="BB2">
        <v>30</v>
      </c>
    </row>
    <row r="3" spans="1:55" x14ac:dyDescent="0.15">
      <c r="F3" s="258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258"/>
      <c r="X3" s="258"/>
      <c r="Y3" s="258"/>
      <c r="Z3" s="258"/>
      <c r="AA3" s="258"/>
      <c r="AB3" s="258"/>
      <c r="AC3" s="258"/>
      <c r="AD3" s="258"/>
      <c r="AE3" s="258"/>
      <c r="AF3" s="258"/>
      <c r="AG3" s="258"/>
      <c r="AH3" s="258"/>
      <c r="AI3" s="1"/>
      <c r="AJ3" s="1"/>
      <c r="AY3" s="227" t="s">
        <v>61</v>
      </c>
      <c r="AZ3" s="225" t="s">
        <v>78</v>
      </c>
      <c r="BA3" s="225"/>
      <c r="BB3" s="225"/>
      <c r="BC3" s="226"/>
    </row>
    <row r="4" spans="1:55" x14ac:dyDescent="0.15">
      <c r="B4" t="s">
        <v>153</v>
      </c>
      <c r="F4" s="428" t="s">
        <v>143</v>
      </c>
      <c r="G4" s="429"/>
      <c r="H4" s="428" t="s">
        <v>146</v>
      </c>
      <c r="I4" s="430"/>
      <c r="J4" s="430"/>
      <c r="K4" s="430"/>
      <c r="L4" s="429"/>
      <c r="M4" s="76"/>
      <c r="N4" s="259"/>
      <c r="O4" s="76"/>
      <c r="P4" s="76"/>
      <c r="Q4" s="76"/>
      <c r="R4" s="76"/>
      <c r="S4" s="259"/>
      <c r="T4" s="76"/>
      <c r="U4" s="76"/>
      <c r="V4" s="76"/>
      <c r="W4" s="260"/>
      <c r="X4" s="261"/>
      <c r="Y4" s="261"/>
      <c r="Z4" s="261"/>
      <c r="AA4" s="261"/>
      <c r="AB4" s="258"/>
      <c r="AC4" s="258"/>
      <c r="AD4" s="258"/>
      <c r="AE4" s="258"/>
      <c r="AF4" s="258"/>
      <c r="AG4" s="258"/>
      <c r="AH4" s="258"/>
      <c r="AI4" s="1"/>
      <c r="AJ4" s="1"/>
    </row>
    <row r="5" spans="1:55" ht="30" customHeight="1" x14ac:dyDescent="0.15">
      <c r="B5" s="269" t="str">
        <f>競技順番!B6</f>
        <v>開始時刻</v>
      </c>
      <c r="C5" s="270" t="s">
        <v>4</v>
      </c>
      <c r="D5" s="271" t="s">
        <v>0</v>
      </c>
      <c r="E5" s="265" t="s">
        <v>142</v>
      </c>
      <c r="F5" s="265" t="s">
        <v>144</v>
      </c>
      <c r="G5" s="266" t="s">
        <v>145</v>
      </c>
      <c r="H5" s="266" t="s">
        <v>147</v>
      </c>
      <c r="I5" s="266" t="s">
        <v>148</v>
      </c>
      <c r="J5" s="266" t="s">
        <v>149</v>
      </c>
      <c r="K5" s="266" t="s">
        <v>144</v>
      </c>
      <c r="L5" s="266" t="s">
        <v>145</v>
      </c>
      <c r="M5" s="268" t="s">
        <v>151</v>
      </c>
      <c r="N5" s="267" t="s">
        <v>144</v>
      </c>
      <c r="O5" s="266" t="s">
        <v>150</v>
      </c>
      <c r="P5" s="266" t="s">
        <v>146</v>
      </c>
      <c r="Q5" s="266" t="s">
        <v>145</v>
      </c>
      <c r="R5" s="261"/>
      <c r="S5" s="259"/>
      <c r="T5" s="261"/>
      <c r="U5" s="259"/>
      <c r="V5" s="259"/>
      <c r="W5" s="260"/>
      <c r="X5" s="260"/>
      <c r="Y5" s="260"/>
      <c r="Z5" s="260"/>
      <c r="AA5" s="260"/>
      <c r="AB5" s="262"/>
      <c r="AC5" s="262"/>
      <c r="AD5" s="263"/>
      <c r="AE5" s="261"/>
      <c r="AF5" s="261"/>
      <c r="AG5" s="261"/>
      <c r="AH5" s="260"/>
      <c r="AI5" s="1"/>
      <c r="AJ5" s="1"/>
      <c r="AK5" s="1"/>
      <c r="AL5" s="1"/>
    </row>
    <row r="6" spans="1:55" ht="15" customHeight="1" x14ac:dyDescent="0.15">
      <c r="B6" s="272">
        <f>競技順番!B7</f>
        <v>0.59027777777777779</v>
      </c>
      <c r="C6" s="272" t="str">
        <f>競技順番!D7</f>
        <v>RN01</v>
      </c>
      <c r="D6" s="273" t="str">
        <f>競技順番!E7</f>
        <v>チームおゆみ野</v>
      </c>
      <c r="E6" s="274">
        <v>0</v>
      </c>
      <c r="F6" s="237">
        <v>5</v>
      </c>
      <c r="G6" s="237">
        <v>9</v>
      </c>
      <c r="H6" s="237">
        <v>0</v>
      </c>
      <c r="I6" s="238">
        <v>0</v>
      </c>
      <c r="J6" s="239">
        <v>0</v>
      </c>
      <c r="K6" s="239">
        <v>0</v>
      </c>
      <c r="L6" s="314">
        <v>0</v>
      </c>
      <c r="M6" s="241">
        <v>0</v>
      </c>
      <c r="N6" s="295">
        <f>E6+F6+K6+M6</f>
        <v>5</v>
      </c>
      <c r="O6" s="275">
        <v>0.19166666666666665</v>
      </c>
      <c r="P6" s="292">
        <f>SUM(H6:J6)</f>
        <v>0</v>
      </c>
      <c r="Q6" s="292">
        <f>G6+L6</f>
        <v>9</v>
      </c>
      <c r="R6" s="287"/>
      <c r="S6" s="285"/>
      <c r="T6" s="76"/>
      <c r="U6" s="286"/>
      <c r="V6" s="258"/>
      <c r="W6" s="285"/>
      <c r="X6" s="285"/>
      <c r="Y6" s="285"/>
      <c r="Z6" s="285"/>
      <c r="AA6" s="258"/>
      <c r="AB6" s="264"/>
      <c r="AC6" s="258"/>
      <c r="AD6" s="288"/>
      <c r="AE6" s="289"/>
      <c r="AF6" s="290"/>
      <c r="AG6" s="290"/>
      <c r="AH6" s="258"/>
      <c r="AI6" s="1"/>
      <c r="AJ6" s="1"/>
      <c r="AK6" s="1"/>
      <c r="AL6" s="1"/>
    </row>
    <row r="7" spans="1:55" ht="15" customHeight="1" thickBot="1" x14ac:dyDescent="0.2">
      <c r="B7" s="151">
        <f>競技順番!B8</f>
        <v>0.59444444444444444</v>
      </c>
      <c r="C7" s="151" t="str">
        <f>競技順番!D8</f>
        <v>RN02</v>
      </c>
      <c r="D7" s="152" t="str">
        <f>競技順番!E8</f>
        <v>まり・きゅりー</v>
      </c>
      <c r="E7" s="245">
        <v>50</v>
      </c>
      <c r="F7" s="247">
        <v>35</v>
      </c>
      <c r="G7" s="247">
        <v>0</v>
      </c>
      <c r="H7" s="247">
        <v>0</v>
      </c>
      <c r="I7" s="248">
        <v>0</v>
      </c>
      <c r="J7" s="249">
        <v>0</v>
      </c>
      <c r="K7" s="249">
        <v>0</v>
      </c>
      <c r="L7" s="315">
        <v>0</v>
      </c>
      <c r="M7" s="246">
        <v>0</v>
      </c>
      <c r="N7" s="300">
        <f t="shared" ref="N7:N13" si="0">E7+F7+K7+M7</f>
        <v>85</v>
      </c>
      <c r="O7" s="153">
        <v>0.25</v>
      </c>
      <c r="P7" s="301">
        <f t="shared" ref="P7:P13" si="1">SUM(H7:J7)</f>
        <v>0</v>
      </c>
      <c r="Q7" s="301">
        <f t="shared" ref="Q7:Q13" si="2">G7+L7</f>
        <v>0</v>
      </c>
      <c r="R7" s="287"/>
      <c r="S7" s="285"/>
      <c r="T7" s="76"/>
      <c r="U7" s="286"/>
      <c r="V7" s="258"/>
      <c r="W7" s="285"/>
      <c r="X7" s="285"/>
      <c r="Y7" s="285"/>
      <c r="Z7" s="285"/>
      <c r="AA7" s="258"/>
      <c r="AB7" s="264"/>
      <c r="AC7" s="258"/>
      <c r="AD7" s="288"/>
      <c r="AE7" s="289"/>
      <c r="AF7" s="290"/>
      <c r="AG7" s="290"/>
      <c r="AH7" s="258"/>
      <c r="AI7" s="291"/>
      <c r="AJ7" s="1"/>
      <c r="AK7" s="1"/>
      <c r="AL7" s="1"/>
    </row>
    <row r="8" spans="1:55" ht="15" customHeight="1" thickTop="1" x14ac:dyDescent="0.15">
      <c r="B8" s="159">
        <f>競技順番!B9</f>
        <v>0.59861111111111109</v>
      </c>
      <c r="C8" s="159" t="str">
        <f>競技順番!D9</f>
        <v>RL01</v>
      </c>
      <c r="D8" s="160" t="str">
        <f>競技順番!E9</f>
        <v>まくすうぇる</v>
      </c>
      <c r="E8" s="251">
        <v>155</v>
      </c>
      <c r="F8" s="252">
        <v>95</v>
      </c>
      <c r="G8" s="252">
        <v>3</v>
      </c>
      <c r="H8" s="252">
        <v>0</v>
      </c>
      <c r="I8" s="242">
        <v>0</v>
      </c>
      <c r="J8" s="253">
        <v>0</v>
      </c>
      <c r="K8" s="253">
        <v>0</v>
      </c>
      <c r="L8" s="316">
        <v>2</v>
      </c>
      <c r="M8" s="243">
        <v>0</v>
      </c>
      <c r="N8" s="298">
        <f t="shared" si="0"/>
        <v>250</v>
      </c>
      <c r="O8" s="150">
        <v>0.12916666666666668</v>
      </c>
      <c r="P8" s="299">
        <f t="shared" si="1"/>
        <v>0</v>
      </c>
      <c r="Q8" s="299">
        <f t="shared" si="2"/>
        <v>5</v>
      </c>
      <c r="R8" s="287"/>
      <c r="S8" s="285"/>
      <c r="T8" s="76"/>
      <c r="U8" s="286"/>
      <c r="V8" s="258"/>
      <c r="W8" s="285"/>
      <c r="X8" s="285"/>
      <c r="Y8" s="285"/>
      <c r="Z8" s="285"/>
      <c r="AA8" s="258"/>
      <c r="AB8" s="264"/>
      <c r="AC8" s="258"/>
      <c r="AD8" s="288"/>
      <c r="AE8" s="289"/>
      <c r="AF8" s="290"/>
      <c r="AG8" s="290"/>
      <c r="AH8" s="258"/>
      <c r="AI8" s="1"/>
      <c r="AJ8" s="1"/>
      <c r="AK8" s="1"/>
      <c r="AL8" s="1"/>
    </row>
    <row r="9" spans="1:55" ht="15" customHeight="1" x14ac:dyDescent="0.15">
      <c r="A9" s="1"/>
      <c r="B9" s="148">
        <f>競技順番!B10</f>
        <v>0.60277777777777775</v>
      </c>
      <c r="C9" s="148" t="str">
        <f>競技順番!D10</f>
        <v>RL02</v>
      </c>
      <c r="D9" s="149" t="str">
        <f>競技順番!E10</f>
        <v>ぱうり</v>
      </c>
      <c r="E9" s="251">
        <v>100</v>
      </c>
      <c r="F9" s="236">
        <v>35</v>
      </c>
      <c r="G9" s="236">
        <v>4</v>
      </c>
      <c r="H9" s="236">
        <v>0</v>
      </c>
      <c r="I9" s="255">
        <v>0</v>
      </c>
      <c r="J9" s="256">
        <v>0</v>
      </c>
      <c r="K9" s="256">
        <v>0</v>
      </c>
      <c r="L9" s="317">
        <v>0</v>
      </c>
      <c r="M9" s="244">
        <v>0</v>
      </c>
      <c r="N9" s="296">
        <f t="shared" si="0"/>
        <v>135</v>
      </c>
      <c r="O9" s="150">
        <v>0.18402777777777779</v>
      </c>
      <c r="P9" s="293">
        <f t="shared" si="1"/>
        <v>0</v>
      </c>
      <c r="Q9" s="293">
        <f t="shared" si="2"/>
        <v>4</v>
      </c>
      <c r="R9" s="287"/>
      <c r="S9" s="285"/>
      <c r="T9" s="76"/>
      <c r="U9" s="286"/>
      <c r="V9" s="258"/>
      <c r="W9" s="285"/>
      <c r="X9" s="285"/>
      <c r="Y9" s="285"/>
      <c r="Z9" s="285"/>
      <c r="AA9" s="258"/>
      <c r="AB9" s="264"/>
      <c r="AC9" s="258"/>
      <c r="AD9" s="288"/>
      <c r="AE9" s="289"/>
      <c r="AF9" s="290"/>
      <c r="AG9" s="290"/>
      <c r="AH9" s="258"/>
      <c r="AI9" s="1"/>
      <c r="AJ9" s="1"/>
      <c r="AK9" s="1"/>
      <c r="AL9" s="1"/>
    </row>
    <row r="10" spans="1:55" ht="15" customHeight="1" x14ac:dyDescent="0.15">
      <c r="A10" s="1"/>
      <c r="B10" s="80">
        <f>競技順番!B11</f>
        <v>0.6069444444444444</v>
      </c>
      <c r="C10" s="80" t="str">
        <f>競技順番!D11</f>
        <v>RL03</v>
      </c>
      <c r="D10" s="100" t="str">
        <f>競技順番!E11</f>
        <v>おいらぁ</v>
      </c>
      <c r="E10" s="235">
        <v>95</v>
      </c>
      <c r="F10" s="236">
        <v>115</v>
      </c>
      <c r="G10" s="236">
        <v>5</v>
      </c>
      <c r="H10" s="236">
        <v>1</v>
      </c>
      <c r="I10" s="255">
        <v>0</v>
      </c>
      <c r="J10" s="256">
        <v>0</v>
      </c>
      <c r="K10" s="256">
        <v>40</v>
      </c>
      <c r="L10" s="317">
        <v>0</v>
      </c>
      <c r="M10" s="244">
        <v>0</v>
      </c>
      <c r="N10" s="296">
        <f t="shared" si="0"/>
        <v>250</v>
      </c>
      <c r="O10" s="99">
        <v>0.25</v>
      </c>
      <c r="P10" s="293">
        <f t="shared" si="1"/>
        <v>1</v>
      </c>
      <c r="Q10" s="293">
        <f t="shared" si="2"/>
        <v>5</v>
      </c>
      <c r="R10" s="287"/>
      <c r="S10" s="285"/>
      <c r="T10" s="76"/>
      <c r="U10" s="286"/>
      <c r="V10" s="258"/>
      <c r="W10" s="285"/>
      <c r="X10" s="285"/>
      <c r="Y10" s="285"/>
      <c r="Z10" s="285"/>
      <c r="AA10" s="258"/>
      <c r="AB10" s="264"/>
      <c r="AC10" s="258"/>
      <c r="AD10" s="288"/>
      <c r="AE10" s="289"/>
      <c r="AF10" s="290"/>
      <c r="AG10" s="290"/>
      <c r="AH10" s="258"/>
      <c r="AI10" s="1"/>
      <c r="AJ10" s="1"/>
      <c r="AK10" s="1"/>
      <c r="AL10" s="1"/>
    </row>
    <row r="11" spans="1:55" ht="15" customHeight="1" x14ac:dyDescent="0.15">
      <c r="A11" s="1"/>
      <c r="B11" s="80">
        <f>競技順番!B12</f>
        <v>0.61111111111111105</v>
      </c>
      <c r="C11" s="80" t="str">
        <f>競技順番!D12</f>
        <v>RL04</v>
      </c>
      <c r="D11" s="100" t="str">
        <f>競技順番!E12</f>
        <v>わとそん</v>
      </c>
      <c r="E11" s="235">
        <v>165</v>
      </c>
      <c r="F11" s="236">
        <v>113</v>
      </c>
      <c r="G11" s="236">
        <v>0</v>
      </c>
      <c r="H11" s="236">
        <v>0</v>
      </c>
      <c r="I11" s="255">
        <v>0</v>
      </c>
      <c r="J11" s="256">
        <v>0</v>
      </c>
      <c r="K11" s="256">
        <v>0</v>
      </c>
      <c r="L11" s="317">
        <v>0</v>
      </c>
      <c r="M11" s="244">
        <v>0</v>
      </c>
      <c r="N11" s="296">
        <f t="shared" si="0"/>
        <v>278</v>
      </c>
      <c r="O11" s="99">
        <v>9.1666666666666674E-2</v>
      </c>
      <c r="P11" s="293">
        <f t="shared" si="1"/>
        <v>0</v>
      </c>
      <c r="Q11" s="293">
        <f t="shared" si="2"/>
        <v>0</v>
      </c>
      <c r="R11" s="287"/>
      <c r="S11" s="285"/>
      <c r="T11" s="76"/>
      <c r="U11" s="286"/>
      <c r="V11" s="258"/>
      <c r="W11" s="285"/>
      <c r="X11" s="285"/>
      <c r="Y11" s="285"/>
      <c r="Z11" s="285"/>
      <c r="AA11" s="258"/>
      <c r="AB11" s="264"/>
      <c r="AC11" s="258"/>
      <c r="AD11" s="288"/>
      <c r="AE11" s="289"/>
      <c r="AF11" s="290"/>
      <c r="AG11" s="290"/>
      <c r="AH11" s="258"/>
      <c r="AI11" s="1"/>
      <c r="AJ11" s="1"/>
      <c r="AK11" s="1"/>
      <c r="AL11" s="1"/>
    </row>
    <row r="12" spans="1:55" ht="15" customHeight="1" x14ac:dyDescent="0.15">
      <c r="A12" s="1"/>
      <c r="B12" s="80">
        <f>競技順番!B13</f>
        <v>0.6152777777777777</v>
      </c>
      <c r="C12" s="80" t="str">
        <f>競技順番!D13</f>
        <v>RL05</v>
      </c>
      <c r="D12" s="100" t="str">
        <f>競技順番!E13</f>
        <v>県千葉GSU</v>
      </c>
      <c r="E12" s="235">
        <v>60</v>
      </c>
      <c r="F12" s="236">
        <v>5</v>
      </c>
      <c r="G12" s="236">
        <v>7</v>
      </c>
      <c r="H12" s="236">
        <v>0</v>
      </c>
      <c r="I12" s="255">
        <v>0</v>
      </c>
      <c r="J12" s="256">
        <v>0</v>
      </c>
      <c r="K12" s="256">
        <v>0</v>
      </c>
      <c r="L12" s="317">
        <v>0</v>
      </c>
      <c r="M12" s="244">
        <v>0</v>
      </c>
      <c r="N12" s="296">
        <f t="shared" si="0"/>
        <v>65</v>
      </c>
      <c r="O12" s="99">
        <v>0.25</v>
      </c>
      <c r="P12" s="293">
        <f t="shared" si="1"/>
        <v>0</v>
      </c>
      <c r="Q12" s="293">
        <f t="shared" si="2"/>
        <v>7</v>
      </c>
      <c r="R12" s="287"/>
      <c r="S12" s="285"/>
      <c r="T12" s="76"/>
      <c r="U12" s="286"/>
      <c r="V12" s="258"/>
      <c r="W12" s="285"/>
      <c r="X12" s="285"/>
      <c r="Y12" s="285"/>
      <c r="Z12" s="285"/>
      <c r="AA12" s="258"/>
      <c r="AB12" s="264"/>
      <c r="AC12" s="258"/>
      <c r="AD12" s="288"/>
      <c r="AE12" s="289"/>
      <c r="AF12" s="290"/>
      <c r="AG12" s="290"/>
      <c r="AH12" s="258"/>
      <c r="AI12" s="1"/>
      <c r="AJ12" s="1"/>
      <c r="AK12" s="1"/>
      <c r="AL12" s="1"/>
    </row>
    <row r="13" spans="1:55" ht="15" customHeight="1" x14ac:dyDescent="0.15">
      <c r="A13" s="1"/>
      <c r="B13" s="276">
        <f>競技順番!B14</f>
        <v>0.61944444444444435</v>
      </c>
      <c r="C13" s="276" t="str">
        <f>競技順番!D14</f>
        <v>RL06</v>
      </c>
      <c r="D13" s="277" t="str">
        <f>競技順番!E14</f>
        <v>HAYATE</v>
      </c>
      <c r="E13" s="278">
        <v>20</v>
      </c>
      <c r="F13" s="279">
        <v>5</v>
      </c>
      <c r="G13" s="279">
        <v>13</v>
      </c>
      <c r="H13" s="279">
        <v>0</v>
      </c>
      <c r="I13" s="280">
        <v>0</v>
      </c>
      <c r="J13" s="281">
        <v>0</v>
      </c>
      <c r="K13" s="281">
        <v>0</v>
      </c>
      <c r="L13" s="318">
        <v>0</v>
      </c>
      <c r="M13" s="283">
        <v>0</v>
      </c>
      <c r="N13" s="297">
        <f t="shared" si="0"/>
        <v>25</v>
      </c>
      <c r="O13" s="284">
        <v>0.25</v>
      </c>
      <c r="P13" s="294">
        <f t="shared" si="1"/>
        <v>0</v>
      </c>
      <c r="Q13" s="294">
        <f t="shared" si="2"/>
        <v>13</v>
      </c>
      <c r="R13" s="287"/>
      <c r="S13" s="285"/>
      <c r="T13" s="76"/>
      <c r="U13" s="286"/>
      <c r="V13" s="258"/>
      <c r="W13" s="285"/>
      <c r="X13" s="285"/>
      <c r="Y13" s="285"/>
      <c r="Z13" s="285"/>
      <c r="AA13" s="258"/>
      <c r="AB13" s="264"/>
      <c r="AC13" s="258"/>
      <c r="AD13" s="288"/>
      <c r="AE13" s="289"/>
      <c r="AF13" s="290"/>
      <c r="AG13" s="290"/>
      <c r="AH13" s="258"/>
      <c r="AI13" s="1"/>
      <c r="AJ13" s="1"/>
      <c r="AK13" s="1"/>
      <c r="AL13" s="1"/>
    </row>
    <row r="14" spans="1:55" x14ac:dyDescent="0.15">
      <c r="B14" s="47"/>
      <c r="D14" s="55"/>
      <c r="E14" s="264"/>
      <c r="F14" s="258"/>
      <c r="G14" s="258"/>
      <c r="H14" s="258"/>
      <c r="I14" s="285"/>
      <c r="J14" s="76"/>
      <c r="K14" s="76"/>
      <c r="L14" s="286"/>
      <c r="M14" s="258"/>
      <c r="N14" s="285"/>
      <c r="O14" s="76"/>
      <c r="P14" s="76"/>
      <c r="Q14" s="286"/>
      <c r="R14" s="258"/>
      <c r="S14" s="285"/>
      <c r="T14" s="76"/>
      <c r="U14" s="286"/>
      <c r="V14" s="258"/>
      <c r="W14" s="285"/>
      <c r="X14" s="285"/>
      <c r="Y14" s="285"/>
      <c r="Z14" s="285"/>
      <c r="AA14" s="258"/>
      <c r="AB14" s="264"/>
      <c r="AC14" s="258"/>
      <c r="AD14" s="288"/>
      <c r="AE14" s="289"/>
      <c r="AF14" s="290"/>
      <c r="AG14" s="290"/>
      <c r="AH14" s="258"/>
      <c r="AI14" s="1"/>
      <c r="AJ14" s="1"/>
      <c r="AK14" s="1"/>
      <c r="AL14" s="1"/>
    </row>
    <row r="16" spans="1:55" ht="14.25" thickBot="1" x14ac:dyDescent="0.2"/>
    <row r="17" spans="1:55" x14ac:dyDescent="0.15">
      <c r="AK17" s="431" t="s">
        <v>77</v>
      </c>
      <c r="AL17" s="432"/>
      <c r="AM17" s="432"/>
      <c r="AN17" s="432"/>
      <c r="AO17" s="432"/>
      <c r="AP17" s="432"/>
      <c r="AQ17" s="432"/>
      <c r="AR17" s="432"/>
      <c r="AS17" s="432"/>
      <c r="AT17" s="432"/>
      <c r="AU17" s="432"/>
      <c r="AV17" s="432"/>
      <c r="AW17" s="432"/>
      <c r="AX17" s="433"/>
      <c r="AY17" s="422" t="s">
        <v>61</v>
      </c>
      <c r="AZ17" s="424" t="s">
        <v>78</v>
      </c>
      <c r="BA17" s="424"/>
      <c r="BB17" s="424"/>
      <c r="BC17" s="425"/>
    </row>
    <row r="18" spans="1:55" x14ac:dyDescent="0.15">
      <c r="B18" t="s">
        <v>152</v>
      </c>
      <c r="F18" s="428" t="s">
        <v>143</v>
      </c>
      <c r="G18" s="429"/>
      <c r="H18" s="428" t="s">
        <v>146</v>
      </c>
      <c r="I18" s="430"/>
      <c r="J18" s="430"/>
      <c r="K18" s="430"/>
      <c r="L18" s="429"/>
      <c r="M18" s="76"/>
      <c r="N18" s="259"/>
      <c r="O18" s="76"/>
      <c r="P18" s="76"/>
      <c r="Q18" s="76"/>
      <c r="R18" s="76"/>
      <c r="S18" s="259"/>
      <c r="T18" s="76"/>
      <c r="U18" s="76"/>
      <c r="V18" s="76"/>
      <c r="W18" s="260"/>
      <c r="X18" s="261"/>
      <c r="Y18" s="261"/>
      <c r="Z18" s="261"/>
      <c r="AA18" s="261"/>
      <c r="AB18" s="258"/>
      <c r="AC18" s="258"/>
      <c r="AD18" s="258"/>
      <c r="AE18" s="258"/>
      <c r="AF18" s="258"/>
      <c r="AG18" s="258"/>
      <c r="AH18" s="258"/>
      <c r="AI18" s="1"/>
      <c r="AJ18" s="1"/>
      <c r="AY18" s="423"/>
      <c r="AZ18" s="426"/>
      <c r="BA18" s="426"/>
      <c r="BB18" s="426"/>
      <c r="BC18" s="427"/>
    </row>
    <row r="19" spans="1:55" ht="30" customHeight="1" x14ac:dyDescent="0.15">
      <c r="B19" s="269" t="str">
        <f>競技順番!B18</f>
        <v>開始時刻</v>
      </c>
      <c r="C19" s="270" t="s">
        <v>4</v>
      </c>
      <c r="D19" s="271" t="s">
        <v>0</v>
      </c>
      <c r="E19" s="265" t="s">
        <v>142</v>
      </c>
      <c r="F19" s="265" t="s">
        <v>144</v>
      </c>
      <c r="G19" s="266" t="s">
        <v>145</v>
      </c>
      <c r="H19" s="266" t="s">
        <v>147</v>
      </c>
      <c r="I19" s="266" t="s">
        <v>148</v>
      </c>
      <c r="J19" s="266" t="s">
        <v>149</v>
      </c>
      <c r="K19" s="266" t="s">
        <v>144</v>
      </c>
      <c r="L19" s="266" t="s">
        <v>145</v>
      </c>
      <c r="M19" s="268" t="s">
        <v>151</v>
      </c>
      <c r="N19" s="267" t="s">
        <v>144</v>
      </c>
      <c r="O19" s="266" t="s">
        <v>150</v>
      </c>
      <c r="P19" s="266" t="s">
        <v>146</v>
      </c>
      <c r="Q19" s="266" t="s">
        <v>145</v>
      </c>
      <c r="R19" s="261"/>
      <c r="S19" s="259"/>
      <c r="T19" s="261"/>
      <c r="U19" s="259"/>
      <c r="V19" s="259"/>
      <c r="W19" s="260"/>
      <c r="X19" s="260"/>
      <c r="Y19" s="260"/>
      <c r="Z19" s="260"/>
      <c r="AA19" s="260"/>
      <c r="AB19" s="262"/>
      <c r="AC19" s="262"/>
      <c r="AD19" s="263"/>
      <c r="AE19" s="261"/>
      <c r="AF19" s="261"/>
      <c r="AG19" s="261"/>
      <c r="AH19" s="260"/>
      <c r="AI19" s="1"/>
      <c r="AJ19" s="1"/>
      <c r="AK19" s="1"/>
      <c r="AL19" s="1"/>
      <c r="AY19" s="423"/>
      <c r="AZ19" s="426"/>
      <c r="BA19" s="426"/>
      <c r="BB19" s="426"/>
      <c r="BC19" s="427"/>
    </row>
    <row r="20" spans="1:55" ht="15" customHeight="1" x14ac:dyDescent="0.15">
      <c r="B20" s="272">
        <f>競技順番!B19</f>
        <v>0.69444444444444453</v>
      </c>
      <c r="C20" s="272" t="str">
        <f>競技順番!D19</f>
        <v>RN01</v>
      </c>
      <c r="D20" s="273" t="str">
        <f>競技順番!E19</f>
        <v>チームおゆみ野</v>
      </c>
      <c r="E20" s="274">
        <v>60</v>
      </c>
      <c r="F20" s="237">
        <v>5</v>
      </c>
      <c r="G20" s="237">
        <v>10</v>
      </c>
      <c r="H20" s="237">
        <v>0</v>
      </c>
      <c r="I20" s="238">
        <v>0</v>
      </c>
      <c r="J20" s="239">
        <v>0</v>
      </c>
      <c r="K20" s="239">
        <v>0</v>
      </c>
      <c r="L20" s="240">
        <v>5</v>
      </c>
      <c r="M20" s="241">
        <v>0</v>
      </c>
      <c r="N20" s="295">
        <f>E20+F20+K20+M20</f>
        <v>65</v>
      </c>
      <c r="O20" s="275">
        <v>0.25</v>
      </c>
      <c r="P20" s="292">
        <f>SUM(H20:J20)</f>
        <v>0</v>
      </c>
      <c r="Q20" s="292">
        <f>G20+L20</f>
        <v>15</v>
      </c>
      <c r="R20" s="287"/>
      <c r="S20" s="285"/>
      <c r="T20" s="76"/>
      <c r="U20" s="286"/>
      <c r="V20" s="258"/>
      <c r="W20" s="285"/>
      <c r="X20" s="285"/>
      <c r="Y20" s="285"/>
      <c r="Z20" s="285"/>
      <c r="AA20" s="258"/>
      <c r="AB20" s="264"/>
      <c r="AC20" s="258"/>
      <c r="AD20" s="288"/>
      <c r="AE20" s="289"/>
      <c r="AF20" s="290"/>
      <c r="AG20" s="290"/>
      <c r="AH20" s="258"/>
      <c r="AI20" s="1"/>
      <c r="AJ20" s="1"/>
      <c r="AK20" s="1"/>
      <c r="AL20" s="1"/>
      <c r="AY20" s="423"/>
      <c r="AZ20" s="426"/>
      <c r="BA20" s="426"/>
      <c r="BB20" s="426"/>
      <c r="BC20" s="427"/>
    </row>
    <row r="21" spans="1:55" ht="15" customHeight="1" thickBot="1" x14ac:dyDescent="0.2">
      <c r="B21" s="151">
        <f>競技順番!B20</f>
        <v>0.69861111111111118</v>
      </c>
      <c r="C21" s="151" t="str">
        <f>競技順番!D20</f>
        <v>RN02</v>
      </c>
      <c r="D21" s="152" t="str">
        <f>競技順番!E20</f>
        <v>まり・きゅりー</v>
      </c>
      <c r="E21" s="245">
        <v>70</v>
      </c>
      <c r="F21" s="247">
        <v>14</v>
      </c>
      <c r="G21" s="247">
        <v>6</v>
      </c>
      <c r="H21" s="247">
        <v>0</v>
      </c>
      <c r="I21" s="248">
        <v>0</v>
      </c>
      <c r="J21" s="249">
        <v>0</v>
      </c>
      <c r="K21" s="249">
        <v>0</v>
      </c>
      <c r="L21" s="250">
        <v>0</v>
      </c>
      <c r="M21" s="246">
        <v>0</v>
      </c>
      <c r="N21" s="300">
        <f t="shared" ref="N21:N27" si="3">E21+F21+K21+M21</f>
        <v>84</v>
      </c>
      <c r="O21" s="153">
        <v>0.25</v>
      </c>
      <c r="P21" s="301">
        <f t="shared" ref="P21:P27" si="4">SUM(H21:J21)</f>
        <v>0</v>
      </c>
      <c r="Q21" s="301">
        <f t="shared" ref="Q21:Q27" si="5">G21+L21</f>
        <v>6</v>
      </c>
      <c r="R21" s="287"/>
      <c r="S21" s="285"/>
      <c r="T21" s="76"/>
      <c r="U21" s="286"/>
      <c r="V21" s="258"/>
      <c r="W21" s="285"/>
      <c r="X21" s="285"/>
      <c r="Y21" s="285"/>
      <c r="Z21" s="285"/>
      <c r="AA21" s="258"/>
      <c r="AB21" s="264"/>
      <c r="AC21" s="258"/>
      <c r="AD21" s="288"/>
      <c r="AE21" s="289"/>
      <c r="AF21" s="290"/>
      <c r="AG21" s="290"/>
      <c r="AH21" s="258"/>
      <c r="AI21" s="291"/>
      <c r="AJ21" s="1"/>
      <c r="AK21" s="1"/>
      <c r="AL21" s="1"/>
      <c r="AY21" s="423"/>
      <c r="AZ21" s="426"/>
      <c r="BA21" s="426"/>
      <c r="BB21" s="426"/>
      <c r="BC21" s="427"/>
    </row>
    <row r="22" spans="1:55" ht="15" customHeight="1" thickTop="1" x14ac:dyDescent="0.15">
      <c r="B22" s="159">
        <f>競技順番!B21</f>
        <v>0.70277777777777783</v>
      </c>
      <c r="C22" s="159" t="str">
        <f>競技順番!D21</f>
        <v>RL01</v>
      </c>
      <c r="D22" s="160" t="str">
        <f>競技順番!E21</f>
        <v>まくすうぇる</v>
      </c>
      <c r="E22" s="251">
        <v>160</v>
      </c>
      <c r="F22" s="252">
        <v>90</v>
      </c>
      <c r="G22" s="252">
        <v>3</v>
      </c>
      <c r="H22" s="252">
        <v>0</v>
      </c>
      <c r="I22" s="242">
        <v>0</v>
      </c>
      <c r="J22" s="253">
        <v>0</v>
      </c>
      <c r="K22" s="253">
        <v>0</v>
      </c>
      <c r="L22" s="254">
        <v>0</v>
      </c>
      <c r="M22" s="243">
        <v>0</v>
      </c>
      <c r="N22" s="298">
        <f t="shared" si="3"/>
        <v>250</v>
      </c>
      <c r="O22" s="150">
        <v>0.1076388888888889</v>
      </c>
      <c r="P22" s="299">
        <f t="shared" si="4"/>
        <v>0</v>
      </c>
      <c r="Q22" s="299">
        <f t="shared" si="5"/>
        <v>3</v>
      </c>
      <c r="R22" s="287"/>
      <c r="S22" s="285"/>
      <c r="T22" s="76"/>
      <c r="U22" s="286"/>
      <c r="V22" s="258"/>
      <c r="W22" s="285"/>
      <c r="X22" s="285"/>
      <c r="Y22" s="285"/>
      <c r="Z22" s="285"/>
      <c r="AA22" s="258"/>
      <c r="AB22" s="264"/>
      <c r="AC22" s="258"/>
      <c r="AD22" s="288"/>
      <c r="AE22" s="289"/>
      <c r="AF22" s="290"/>
      <c r="AG22" s="290"/>
      <c r="AH22" s="258"/>
      <c r="AI22" s="1"/>
      <c r="AJ22" s="1"/>
      <c r="AK22" s="1"/>
      <c r="AL22" s="1"/>
      <c r="AY22" s="423"/>
      <c r="AZ22" s="426"/>
      <c r="BA22" s="426"/>
      <c r="BB22" s="426"/>
      <c r="BC22" s="427"/>
    </row>
    <row r="23" spans="1:55" ht="15" customHeight="1" x14ac:dyDescent="0.15">
      <c r="A23" s="1"/>
      <c r="B23" s="148">
        <f>競技順番!B22</f>
        <v>0.70694444444444449</v>
      </c>
      <c r="C23" s="148" t="str">
        <f>競技順番!D22</f>
        <v>RL02</v>
      </c>
      <c r="D23" s="149" t="str">
        <f>競技順番!E22</f>
        <v>ぱうり</v>
      </c>
      <c r="E23" s="251">
        <v>85</v>
      </c>
      <c r="F23" s="236">
        <v>5</v>
      </c>
      <c r="G23" s="236">
        <v>3</v>
      </c>
      <c r="H23" s="236">
        <v>0</v>
      </c>
      <c r="I23" s="255">
        <v>0</v>
      </c>
      <c r="J23" s="256">
        <v>0</v>
      </c>
      <c r="K23" s="256">
        <v>0</v>
      </c>
      <c r="L23" s="257">
        <v>0</v>
      </c>
      <c r="M23" s="244">
        <v>0</v>
      </c>
      <c r="N23" s="296">
        <f t="shared" si="3"/>
        <v>90</v>
      </c>
      <c r="O23" s="150">
        <v>0.25</v>
      </c>
      <c r="P23" s="293">
        <f t="shared" si="4"/>
        <v>0</v>
      </c>
      <c r="Q23" s="293">
        <f t="shared" si="5"/>
        <v>3</v>
      </c>
      <c r="R23" s="287"/>
      <c r="S23" s="285"/>
      <c r="T23" s="76"/>
      <c r="U23" s="286"/>
      <c r="V23" s="258"/>
      <c r="W23" s="285"/>
      <c r="X23" s="285"/>
      <c r="Y23" s="285"/>
      <c r="Z23" s="285"/>
      <c r="AA23" s="258"/>
      <c r="AB23" s="264"/>
      <c r="AC23" s="258"/>
      <c r="AD23" s="288"/>
      <c r="AE23" s="289"/>
      <c r="AF23" s="290"/>
      <c r="AG23" s="290"/>
      <c r="AH23" s="258"/>
      <c r="AI23" s="1"/>
      <c r="AJ23" s="1"/>
      <c r="AK23" s="1"/>
      <c r="AL23" s="1"/>
      <c r="AY23" s="423"/>
      <c r="AZ23" s="426"/>
      <c r="BA23" s="426"/>
      <c r="BB23" s="426"/>
      <c r="BC23" s="427"/>
    </row>
    <row r="24" spans="1:55" ht="15" customHeight="1" x14ac:dyDescent="0.15">
      <c r="A24" s="1"/>
      <c r="B24" s="80">
        <f>競技順番!B23</f>
        <v>0.71111111111111114</v>
      </c>
      <c r="C24" s="80" t="str">
        <f>競技順番!D23</f>
        <v>RL03</v>
      </c>
      <c r="D24" s="100" t="str">
        <f>競技順番!E23</f>
        <v>おいらぁ</v>
      </c>
      <c r="E24" s="235">
        <v>165</v>
      </c>
      <c r="F24" s="236">
        <v>170</v>
      </c>
      <c r="G24" s="236">
        <v>0</v>
      </c>
      <c r="H24" s="236">
        <v>1</v>
      </c>
      <c r="I24" s="255">
        <v>1</v>
      </c>
      <c r="J24" s="256">
        <v>0</v>
      </c>
      <c r="K24" s="256">
        <v>45</v>
      </c>
      <c r="L24" s="257">
        <v>0</v>
      </c>
      <c r="M24" s="244">
        <v>0</v>
      </c>
      <c r="N24" s="296">
        <f t="shared" si="3"/>
        <v>380</v>
      </c>
      <c r="O24" s="99">
        <v>0.25</v>
      </c>
      <c r="P24" s="293">
        <f t="shared" si="4"/>
        <v>2</v>
      </c>
      <c r="Q24" s="293">
        <f t="shared" si="5"/>
        <v>0</v>
      </c>
      <c r="R24" s="287"/>
      <c r="S24" s="285"/>
      <c r="T24" s="76"/>
      <c r="U24" s="286"/>
      <c r="V24" s="258"/>
      <c r="W24" s="285"/>
      <c r="X24" s="285"/>
      <c r="Y24" s="285"/>
      <c r="Z24" s="285"/>
      <c r="AA24" s="258"/>
      <c r="AB24" s="264"/>
      <c r="AC24" s="258"/>
      <c r="AD24" s="288"/>
      <c r="AE24" s="289"/>
      <c r="AF24" s="290"/>
      <c r="AG24" s="290"/>
      <c r="AH24" s="258"/>
      <c r="AI24" s="1"/>
      <c r="AJ24" s="1"/>
      <c r="AK24" s="1"/>
      <c r="AL24" s="1"/>
      <c r="AY24" s="423"/>
      <c r="AZ24" s="426"/>
      <c r="BA24" s="426"/>
      <c r="BB24" s="426"/>
      <c r="BC24" s="427"/>
    </row>
    <row r="25" spans="1:55" ht="15" customHeight="1" x14ac:dyDescent="0.15">
      <c r="A25" s="1"/>
      <c r="B25" s="80">
        <f>競技順番!B24</f>
        <v>0.71527777777777779</v>
      </c>
      <c r="C25" s="80" t="str">
        <f>競技順番!D24</f>
        <v>RL04</v>
      </c>
      <c r="D25" s="100" t="str">
        <f>競技順番!E24</f>
        <v>わとそん</v>
      </c>
      <c r="E25" s="235">
        <v>165</v>
      </c>
      <c r="F25" s="236">
        <v>158</v>
      </c>
      <c r="G25" s="236">
        <v>1</v>
      </c>
      <c r="H25" s="236">
        <v>0</v>
      </c>
      <c r="I25" s="255">
        <v>0</v>
      </c>
      <c r="J25" s="256">
        <v>0</v>
      </c>
      <c r="K25" s="256">
        <v>0</v>
      </c>
      <c r="L25" s="257">
        <v>0</v>
      </c>
      <c r="M25" s="244">
        <v>0</v>
      </c>
      <c r="N25" s="296">
        <f t="shared" si="3"/>
        <v>323</v>
      </c>
      <c r="O25" s="99">
        <v>7.3611111111111113E-2</v>
      </c>
      <c r="P25" s="293">
        <f t="shared" si="4"/>
        <v>0</v>
      </c>
      <c r="Q25" s="293">
        <f t="shared" si="5"/>
        <v>1</v>
      </c>
      <c r="R25" s="287"/>
      <c r="S25" s="285"/>
      <c r="T25" s="76"/>
      <c r="U25" s="286"/>
      <c r="V25" s="258"/>
      <c r="W25" s="285"/>
      <c r="X25" s="285"/>
      <c r="Y25" s="285"/>
      <c r="Z25" s="285"/>
      <c r="AA25" s="258"/>
      <c r="AB25" s="264"/>
      <c r="AC25" s="258"/>
      <c r="AD25" s="288"/>
      <c r="AE25" s="289"/>
      <c r="AF25" s="290"/>
      <c r="AG25" s="290"/>
      <c r="AH25" s="258"/>
      <c r="AI25" s="1"/>
      <c r="AJ25" s="1"/>
      <c r="AK25" s="1"/>
      <c r="AL25" s="1"/>
      <c r="AY25" s="423"/>
      <c r="AZ25" s="426"/>
      <c r="BA25" s="426"/>
      <c r="BB25" s="426"/>
      <c r="BC25" s="427"/>
    </row>
    <row r="26" spans="1:55" ht="15" customHeight="1" x14ac:dyDescent="0.15">
      <c r="A26" s="1"/>
      <c r="B26" s="80">
        <f>競技順番!B25</f>
        <v>0.71944444444444444</v>
      </c>
      <c r="C26" s="80" t="str">
        <f>競技順番!D25</f>
        <v>RL05</v>
      </c>
      <c r="D26" s="100" t="str">
        <f>競技順番!E25</f>
        <v>県千葉GSU</v>
      </c>
      <c r="E26" s="235">
        <v>60</v>
      </c>
      <c r="F26" s="236">
        <v>5</v>
      </c>
      <c r="G26" s="236">
        <v>11</v>
      </c>
      <c r="H26" s="236">
        <v>0</v>
      </c>
      <c r="I26" s="255">
        <v>0</v>
      </c>
      <c r="J26" s="256">
        <v>0</v>
      </c>
      <c r="K26" s="256">
        <v>0</v>
      </c>
      <c r="L26" s="257">
        <v>0</v>
      </c>
      <c r="M26" s="244">
        <v>0</v>
      </c>
      <c r="N26" s="296">
        <f t="shared" si="3"/>
        <v>65</v>
      </c>
      <c r="O26" s="99">
        <v>0.22916666666666666</v>
      </c>
      <c r="P26" s="293">
        <f t="shared" si="4"/>
        <v>0</v>
      </c>
      <c r="Q26" s="293">
        <f t="shared" si="5"/>
        <v>11</v>
      </c>
      <c r="R26" s="287"/>
      <c r="S26" s="285"/>
      <c r="T26" s="76"/>
      <c r="U26" s="286"/>
      <c r="V26" s="258"/>
      <c r="W26" s="285"/>
      <c r="X26" s="285"/>
      <c r="Y26" s="285"/>
      <c r="Z26" s="285"/>
      <c r="AA26" s="258"/>
      <c r="AB26" s="264"/>
      <c r="AC26" s="258"/>
      <c r="AD26" s="288"/>
      <c r="AE26" s="289"/>
      <c r="AF26" s="290"/>
      <c r="AG26" s="290"/>
      <c r="AH26" s="258"/>
      <c r="AI26" s="1"/>
      <c r="AJ26" s="1"/>
      <c r="AK26" s="1"/>
      <c r="AL26" s="1"/>
      <c r="AY26" s="423"/>
      <c r="AZ26" s="426"/>
      <c r="BA26" s="426"/>
      <c r="BB26" s="426"/>
      <c r="BC26" s="427"/>
    </row>
    <row r="27" spans="1:55" ht="15" customHeight="1" x14ac:dyDescent="0.15">
      <c r="A27" s="1"/>
      <c r="B27" s="276">
        <f>競技順番!B26</f>
        <v>0.72361111111111109</v>
      </c>
      <c r="C27" s="276" t="str">
        <f>競技順番!D26</f>
        <v>RL06</v>
      </c>
      <c r="D27" s="277" t="str">
        <f>競技順番!E26</f>
        <v>HAYATE</v>
      </c>
      <c r="E27" s="278">
        <v>40</v>
      </c>
      <c r="F27" s="279">
        <v>5</v>
      </c>
      <c r="G27" s="279">
        <v>20</v>
      </c>
      <c r="H27" s="279">
        <v>0</v>
      </c>
      <c r="I27" s="280">
        <v>0</v>
      </c>
      <c r="J27" s="281">
        <v>0</v>
      </c>
      <c r="K27" s="281">
        <v>0</v>
      </c>
      <c r="L27" s="282">
        <v>0</v>
      </c>
      <c r="M27" s="283">
        <v>0</v>
      </c>
      <c r="N27" s="297">
        <f t="shared" si="3"/>
        <v>45</v>
      </c>
      <c r="O27" s="284">
        <v>0.25</v>
      </c>
      <c r="P27" s="294">
        <f t="shared" si="4"/>
        <v>0</v>
      </c>
      <c r="Q27" s="294">
        <f t="shared" si="5"/>
        <v>20</v>
      </c>
      <c r="R27" s="287"/>
      <c r="S27" s="285"/>
      <c r="T27" s="76"/>
      <c r="U27" s="286"/>
      <c r="V27" s="258"/>
      <c r="W27" s="285"/>
      <c r="X27" s="285"/>
      <c r="Y27" s="285"/>
      <c r="Z27" s="285"/>
      <c r="AA27" s="258"/>
      <c r="AB27" s="264"/>
      <c r="AC27" s="258"/>
      <c r="AD27" s="288"/>
      <c r="AE27" s="289"/>
      <c r="AF27" s="290"/>
      <c r="AG27" s="290"/>
      <c r="AH27" s="258"/>
      <c r="AI27" s="1"/>
      <c r="AJ27" s="1"/>
      <c r="AK27" s="1"/>
      <c r="AL27" s="1"/>
      <c r="AY27" s="423"/>
      <c r="AZ27" s="426"/>
      <c r="BA27" s="426"/>
      <c r="BB27" s="426"/>
      <c r="BC27" s="427"/>
    </row>
    <row r="28" spans="1:55" x14ac:dyDescent="0.15">
      <c r="B28" s="47"/>
      <c r="D28" s="55"/>
      <c r="E28" s="264"/>
      <c r="F28" s="258"/>
      <c r="G28" s="258"/>
      <c r="H28" s="258"/>
      <c r="I28" s="285"/>
      <c r="J28" s="76"/>
      <c r="K28" s="76"/>
      <c r="L28" s="286"/>
      <c r="M28" s="258"/>
      <c r="N28" s="285"/>
      <c r="O28" s="76"/>
      <c r="P28" s="76"/>
      <c r="Q28" s="286"/>
      <c r="R28" s="258"/>
      <c r="S28" s="285"/>
      <c r="T28" s="76"/>
      <c r="U28" s="286"/>
      <c r="V28" s="258"/>
      <c r="W28" s="285"/>
      <c r="X28" s="285"/>
      <c r="Y28" s="285"/>
      <c r="Z28" s="285"/>
      <c r="AA28" s="258"/>
      <c r="AB28" s="264"/>
      <c r="AC28" s="258"/>
      <c r="AD28" s="288"/>
      <c r="AE28" s="289"/>
      <c r="AF28" s="290"/>
      <c r="AG28" s="290"/>
      <c r="AH28" s="258"/>
      <c r="AI28" s="1"/>
      <c r="AJ28" s="1"/>
      <c r="AK28" s="1"/>
      <c r="AL28" s="1"/>
      <c r="AY28" s="423"/>
      <c r="AZ28" s="426"/>
      <c r="BA28" s="426"/>
      <c r="BB28" s="426"/>
      <c r="BC28" s="427"/>
    </row>
  </sheetData>
  <protectedRanges>
    <protectedRange sqref="W6:Z14 AE6:AE14 E6:E14 AB6:AB14 O20:O27 O6:O13 W20:Z28 AE20:AE28 E20:E28 AB20:AB28" name="範囲1"/>
    <protectedRange sqref="I6:L14 N14:Q14 S6:U14 S20:U28 N20:N27 P20:Q27 N6:N13 P6:Q13 I20:L28 N28:Q28" name="範囲1_1"/>
  </protectedRanges>
  <mergeCells count="7">
    <mergeCell ref="AY17:AY28"/>
    <mergeCell ref="AZ17:BC28"/>
    <mergeCell ref="F4:G4"/>
    <mergeCell ref="H4:L4"/>
    <mergeCell ref="F18:G18"/>
    <mergeCell ref="H18:L18"/>
    <mergeCell ref="AK17:AX17"/>
  </mergeCells>
  <phoneticPr fontId="1"/>
  <pageMargins left="0.75" right="0.75" top="1" bottom="1" header="0.51200000000000001" footer="0.51200000000000001"/>
  <pageSetup paperSize="9" orientation="portrait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R11"/>
  <sheetViews>
    <sheetView tabSelected="1" workbookViewId="0">
      <selection activeCell="D15" sqref="D15"/>
    </sheetView>
  </sheetViews>
  <sheetFormatPr defaultRowHeight="13.5" x14ac:dyDescent="0.15"/>
  <cols>
    <col min="2" max="2" width="4.625" customWidth="1"/>
    <col min="3" max="3" width="6.25" customWidth="1"/>
    <col min="4" max="5" width="15.625" customWidth="1"/>
    <col min="6" max="18" width="6.625" customWidth="1"/>
  </cols>
  <sheetData>
    <row r="1" spans="1:18" ht="55.5" x14ac:dyDescent="0.25">
      <c r="B1" s="232" t="s">
        <v>138</v>
      </c>
      <c r="L1" s="54" t="s">
        <v>66</v>
      </c>
    </row>
    <row r="2" spans="1:18" ht="14.25" thickBot="1" x14ac:dyDescent="0.2">
      <c r="F2" t="s">
        <v>71</v>
      </c>
      <c r="J2" t="s">
        <v>72</v>
      </c>
      <c r="N2" t="s">
        <v>64</v>
      </c>
    </row>
    <row r="3" spans="1:18" s="5" customFormat="1" x14ac:dyDescent="0.15">
      <c r="B3" s="101" t="str">
        <f>+チーム一覧!B4</f>
        <v>No.</v>
      </c>
      <c r="C3" s="102" t="s">
        <v>4</v>
      </c>
      <c r="D3" s="102" t="str">
        <f>+チーム一覧!D4</f>
        <v>チーム名</v>
      </c>
      <c r="E3" s="116" t="str">
        <f>+チーム一覧!E4</f>
        <v>ふりがな</v>
      </c>
      <c r="F3" s="122" t="s">
        <v>1</v>
      </c>
      <c r="G3" s="102" t="s">
        <v>62</v>
      </c>
      <c r="H3" s="102" t="s">
        <v>54</v>
      </c>
      <c r="I3" s="102" t="s">
        <v>61</v>
      </c>
      <c r="J3" s="122" t="s">
        <v>1</v>
      </c>
      <c r="K3" s="102" t="s">
        <v>62</v>
      </c>
      <c r="L3" s="102" t="s">
        <v>54</v>
      </c>
      <c r="M3" s="102" t="s">
        <v>61</v>
      </c>
      <c r="N3" s="121" t="s">
        <v>1</v>
      </c>
      <c r="O3" s="121" t="s">
        <v>150</v>
      </c>
      <c r="P3" s="121" t="s">
        <v>146</v>
      </c>
      <c r="Q3" s="102" t="s">
        <v>65</v>
      </c>
      <c r="R3" s="103" t="s">
        <v>65</v>
      </c>
    </row>
    <row r="4" spans="1:18" x14ac:dyDescent="0.15">
      <c r="B4" s="107">
        <f>+チーム一覧!B5</f>
        <v>1</v>
      </c>
      <c r="C4" s="104" t="str">
        <f>+チーム一覧!C5</f>
        <v>RN01</v>
      </c>
      <c r="D4" s="104" t="str">
        <f>+チーム一覧!D5</f>
        <v>チームおゆみ野</v>
      </c>
      <c r="E4" s="117" t="str">
        <f>+チーム一覧!E5</f>
        <v>チームオユミノ</v>
      </c>
      <c r="F4" s="123">
        <f>競技記録A!N6</f>
        <v>5</v>
      </c>
      <c r="G4" s="173">
        <f>競技記録A!O6</f>
        <v>0.19166666666666665</v>
      </c>
      <c r="H4" s="182">
        <f>競技記録A!P6</f>
        <v>0</v>
      </c>
      <c r="I4" s="303">
        <f>競技記録A!Q6</f>
        <v>9</v>
      </c>
      <c r="J4" s="123">
        <f>競技記録A!N20</f>
        <v>65</v>
      </c>
      <c r="K4" s="173">
        <f>競技記録A!O20</f>
        <v>0.25</v>
      </c>
      <c r="L4" s="182">
        <f>競技記録A!P20</f>
        <v>0</v>
      </c>
      <c r="M4" s="303">
        <f>競技記録A!Q20</f>
        <v>15</v>
      </c>
      <c r="N4" s="127">
        <f>F4+J4</f>
        <v>70</v>
      </c>
      <c r="O4" s="302">
        <f>G4+K4</f>
        <v>0.44166666666666665</v>
      </c>
      <c r="P4" s="127">
        <f>H4+L4</f>
        <v>0</v>
      </c>
      <c r="Q4" s="104">
        <f>RANK(N4,$N$4:$N$5)</f>
        <v>2</v>
      </c>
      <c r="R4" s="108"/>
    </row>
    <row r="5" spans="1:18" ht="14.25" thickBot="1" x14ac:dyDescent="0.2">
      <c r="B5" s="161">
        <f>+チーム一覧!B6</f>
        <v>2</v>
      </c>
      <c r="C5" s="162" t="str">
        <f>+チーム一覧!C6</f>
        <v>RN02</v>
      </c>
      <c r="D5" s="104" t="str">
        <f>+チーム一覧!D6</f>
        <v>まり・きゅりー</v>
      </c>
      <c r="E5" s="117" t="str">
        <f>+チーム一覧!E6</f>
        <v>マリキュリー</v>
      </c>
      <c r="F5" s="163">
        <f>競技記録A!N7</f>
        <v>85</v>
      </c>
      <c r="G5" s="174">
        <f>競技記録A!O7</f>
        <v>0.25</v>
      </c>
      <c r="H5" s="183">
        <f>競技記録A!P7</f>
        <v>0</v>
      </c>
      <c r="I5" s="304">
        <f>競技記録A!Q7</f>
        <v>0</v>
      </c>
      <c r="J5" s="163">
        <f>競技記録A!N21</f>
        <v>84</v>
      </c>
      <c r="K5" s="174">
        <f>競技記録A!O21</f>
        <v>0.25</v>
      </c>
      <c r="L5" s="183">
        <f>競技記録A!P21</f>
        <v>0</v>
      </c>
      <c r="M5" s="304">
        <f>競技記録A!Q21</f>
        <v>6</v>
      </c>
      <c r="N5" s="164">
        <f t="shared" ref="N5:N11" si="0">F5+J5</f>
        <v>169</v>
      </c>
      <c r="O5" s="309">
        <f t="shared" ref="O5:O11" si="1">G5+K5</f>
        <v>0.5</v>
      </c>
      <c r="P5" s="164">
        <f t="shared" ref="P5:P11" si="2">H5+L5</f>
        <v>0</v>
      </c>
      <c r="Q5" s="162">
        <f>RANK(N5,$N$4:$N$5)</f>
        <v>1</v>
      </c>
      <c r="R5" s="165"/>
    </row>
    <row r="6" spans="1:18" ht="14.25" thickTop="1" x14ac:dyDescent="0.15">
      <c r="A6" s="147"/>
      <c r="B6" s="171">
        <f>+チーム一覧!B7</f>
        <v>3</v>
      </c>
      <c r="C6" s="166" t="str">
        <f>+チーム一覧!C7</f>
        <v>RL01</v>
      </c>
      <c r="D6" s="166" t="str">
        <f>+チーム一覧!D7</f>
        <v>まくすうぇる</v>
      </c>
      <c r="E6" s="167" t="str">
        <f>+チーム一覧!E7</f>
        <v>マクスウェル</v>
      </c>
      <c r="F6" s="168">
        <f>競技記録A!N8</f>
        <v>250</v>
      </c>
      <c r="G6" s="175">
        <f>競技記録A!O8</f>
        <v>0.12916666666666668</v>
      </c>
      <c r="H6" s="172">
        <f>競技記録A!P8</f>
        <v>0</v>
      </c>
      <c r="I6" s="305">
        <f>競技記録A!Q8</f>
        <v>5</v>
      </c>
      <c r="J6" s="168">
        <f>競技記録A!N22</f>
        <v>250</v>
      </c>
      <c r="K6" s="175">
        <f>競技記録A!O22</f>
        <v>0.1076388888888889</v>
      </c>
      <c r="L6" s="172">
        <f>競技記録A!P22</f>
        <v>0</v>
      </c>
      <c r="M6" s="305">
        <f>競技記録A!Q22</f>
        <v>3</v>
      </c>
      <c r="N6" s="169">
        <f t="shared" si="0"/>
        <v>500</v>
      </c>
      <c r="O6" s="310">
        <f t="shared" si="1"/>
        <v>0.23680555555555557</v>
      </c>
      <c r="P6" s="169">
        <f t="shared" si="2"/>
        <v>0</v>
      </c>
      <c r="Q6" s="166">
        <f t="shared" ref="Q6:Q11" si="3">RANK(N6,$N$6:$N$11)</f>
        <v>3</v>
      </c>
      <c r="R6" s="170"/>
    </row>
    <row r="7" spans="1:18" x14ac:dyDescent="0.15">
      <c r="B7" s="111">
        <f>+チーム一覧!B8</f>
        <v>4</v>
      </c>
      <c r="C7" s="106" t="str">
        <f>+チーム一覧!C8</f>
        <v>RL02</v>
      </c>
      <c r="D7" s="106" t="str">
        <f>+チーム一覧!D8</f>
        <v>ぱうり</v>
      </c>
      <c r="E7" s="119" t="str">
        <f>+チーム一覧!E8</f>
        <v>パウリ</v>
      </c>
      <c r="F7" s="125">
        <f>競技記録A!N9</f>
        <v>135</v>
      </c>
      <c r="G7" s="176">
        <f>競技記録A!O9</f>
        <v>0.18402777777777779</v>
      </c>
      <c r="H7" s="179">
        <f>競技記録A!P9</f>
        <v>0</v>
      </c>
      <c r="I7" s="306">
        <f>競技記録A!Q9</f>
        <v>4</v>
      </c>
      <c r="J7" s="125">
        <f>競技記録A!N23</f>
        <v>90</v>
      </c>
      <c r="K7" s="176">
        <f>競技記録A!O23</f>
        <v>0.25</v>
      </c>
      <c r="L7" s="179">
        <f>競技記録A!P23</f>
        <v>0</v>
      </c>
      <c r="M7" s="306">
        <f>競技記録A!Q23</f>
        <v>3</v>
      </c>
      <c r="N7" s="129">
        <f t="shared" si="0"/>
        <v>225</v>
      </c>
      <c r="O7" s="311">
        <f t="shared" si="1"/>
        <v>0.43402777777777779</v>
      </c>
      <c r="P7" s="129">
        <f t="shared" si="2"/>
        <v>0</v>
      </c>
      <c r="Q7" s="106">
        <f t="shared" si="3"/>
        <v>4</v>
      </c>
      <c r="R7" s="112"/>
    </row>
    <row r="8" spans="1:18" x14ac:dyDescent="0.15">
      <c r="B8" s="109">
        <f>+チーム一覧!B9</f>
        <v>5</v>
      </c>
      <c r="C8" s="105" t="str">
        <f>+チーム一覧!C9</f>
        <v>RL03</v>
      </c>
      <c r="D8" s="105" t="str">
        <f>+チーム一覧!D9</f>
        <v>おいらぁ</v>
      </c>
      <c r="E8" s="118" t="str">
        <f>+チーム一覧!E9</f>
        <v>オイラァ</v>
      </c>
      <c r="F8" s="124">
        <f>競技記録A!N10</f>
        <v>250</v>
      </c>
      <c r="G8" s="177">
        <f>競技記録A!O10</f>
        <v>0.25</v>
      </c>
      <c r="H8" s="180">
        <f>競技記録A!P10</f>
        <v>1</v>
      </c>
      <c r="I8" s="307">
        <f>競技記録A!Q10</f>
        <v>5</v>
      </c>
      <c r="J8" s="124">
        <f>競技記録A!N24</f>
        <v>380</v>
      </c>
      <c r="K8" s="177">
        <f>競技記録A!O24</f>
        <v>0.25</v>
      </c>
      <c r="L8" s="180">
        <f>競技記録A!P24</f>
        <v>2</v>
      </c>
      <c r="M8" s="307">
        <f>競技記録A!Q24</f>
        <v>0</v>
      </c>
      <c r="N8" s="128">
        <f t="shared" si="0"/>
        <v>630</v>
      </c>
      <c r="O8" s="312">
        <f t="shared" si="1"/>
        <v>0.5</v>
      </c>
      <c r="P8" s="128">
        <f t="shared" si="2"/>
        <v>3</v>
      </c>
      <c r="Q8" s="105">
        <f t="shared" si="3"/>
        <v>1</v>
      </c>
      <c r="R8" s="110"/>
    </row>
    <row r="9" spans="1:18" x14ac:dyDescent="0.15">
      <c r="B9" s="109">
        <f>+チーム一覧!B10</f>
        <v>6</v>
      </c>
      <c r="C9" s="105" t="str">
        <f>+チーム一覧!C10</f>
        <v>RL04</v>
      </c>
      <c r="D9" s="105" t="str">
        <f>+チーム一覧!D10</f>
        <v>わとそん</v>
      </c>
      <c r="E9" s="118" t="str">
        <f>+チーム一覧!E10</f>
        <v>ワトソン</v>
      </c>
      <c r="F9" s="124">
        <f>競技記録A!N11</f>
        <v>278</v>
      </c>
      <c r="G9" s="177">
        <f>競技記録A!O11</f>
        <v>9.1666666666666674E-2</v>
      </c>
      <c r="H9" s="180">
        <f>競技記録A!P11</f>
        <v>0</v>
      </c>
      <c r="I9" s="307">
        <f>競技記録A!Q11</f>
        <v>0</v>
      </c>
      <c r="J9" s="124">
        <f>競技記録A!N25</f>
        <v>323</v>
      </c>
      <c r="K9" s="177">
        <f>競技記録A!O25</f>
        <v>7.3611111111111113E-2</v>
      </c>
      <c r="L9" s="180">
        <f>競技記録A!P25</f>
        <v>0</v>
      </c>
      <c r="M9" s="307">
        <f>競技記録A!Q25</f>
        <v>1</v>
      </c>
      <c r="N9" s="128">
        <f t="shared" si="0"/>
        <v>601</v>
      </c>
      <c r="O9" s="312">
        <f t="shared" si="1"/>
        <v>0.1652777777777778</v>
      </c>
      <c r="P9" s="128">
        <f t="shared" si="2"/>
        <v>0</v>
      </c>
      <c r="Q9" s="105">
        <f t="shared" si="3"/>
        <v>2</v>
      </c>
      <c r="R9" s="110"/>
    </row>
    <row r="10" spans="1:18" x14ac:dyDescent="0.15">
      <c r="B10" s="109">
        <f>+チーム一覧!B11</f>
        <v>7</v>
      </c>
      <c r="C10" s="105" t="str">
        <f>+チーム一覧!C11</f>
        <v>RL05</v>
      </c>
      <c r="D10" s="105" t="str">
        <f>+チーム一覧!D11</f>
        <v>県千葉GSU</v>
      </c>
      <c r="E10" s="118" t="str">
        <f>+チーム一覧!E11</f>
        <v>ケンチバジーエスユー</v>
      </c>
      <c r="F10" s="124">
        <f>競技記録A!N12</f>
        <v>65</v>
      </c>
      <c r="G10" s="177">
        <f>競技記録A!O12</f>
        <v>0.25</v>
      </c>
      <c r="H10" s="180">
        <f>競技記録A!P12</f>
        <v>0</v>
      </c>
      <c r="I10" s="307">
        <f>競技記録A!Q12</f>
        <v>7</v>
      </c>
      <c r="J10" s="124">
        <f>競技記録A!N26</f>
        <v>65</v>
      </c>
      <c r="K10" s="177">
        <f>競技記録A!O26</f>
        <v>0.22916666666666666</v>
      </c>
      <c r="L10" s="180">
        <f>競技記録A!P26</f>
        <v>0</v>
      </c>
      <c r="M10" s="307">
        <f>競技記録A!Q26</f>
        <v>11</v>
      </c>
      <c r="N10" s="128">
        <f t="shared" si="0"/>
        <v>130</v>
      </c>
      <c r="O10" s="312">
        <f t="shared" si="1"/>
        <v>0.47916666666666663</v>
      </c>
      <c r="P10" s="128">
        <f t="shared" si="2"/>
        <v>0</v>
      </c>
      <c r="Q10" s="105">
        <f t="shared" si="3"/>
        <v>5</v>
      </c>
      <c r="R10" s="110"/>
    </row>
    <row r="11" spans="1:18" ht="14.25" thickBot="1" x14ac:dyDescent="0.2">
      <c r="B11" s="113">
        <f>+チーム一覧!B12</f>
        <v>8</v>
      </c>
      <c r="C11" s="114" t="str">
        <f>+チーム一覧!C12</f>
        <v>RL06</v>
      </c>
      <c r="D11" s="114" t="str">
        <f>+チーム一覧!D12</f>
        <v>HAYATE</v>
      </c>
      <c r="E11" s="120" t="str">
        <f>+チーム一覧!E12</f>
        <v>ハヤテ</v>
      </c>
      <c r="F11" s="126">
        <f>競技記録A!N13</f>
        <v>25</v>
      </c>
      <c r="G11" s="178">
        <f>競技記録A!O13</f>
        <v>0.25</v>
      </c>
      <c r="H11" s="181">
        <f>競技記録A!P13</f>
        <v>0</v>
      </c>
      <c r="I11" s="308">
        <f>競技記録A!Q13</f>
        <v>13</v>
      </c>
      <c r="J11" s="126">
        <f>競技記録A!N27</f>
        <v>45</v>
      </c>
      <c r="K11" s="178">
        <f>競技記録A!O27</f>
        <v>0.25</v>
      </c>
      <c r="L11" s="181">
        <f>競技記録A!P27</f>
        <v>0</v>
      </c>
      <c r="M11" s="308">
        <f>競技記録A!Q27</f>
        <v>20</v>
      </c>
      <c r="N11" s="130">
        <f t="shared" si="0"/>
        <v>70</v>
      </c>
      <c r="O11" s="313">
        <f t="shared" si="1"/>
        <v>0.5</v>
      </c>
      <c r="P11" s="130">
        <f t="shared" si="2"/>
        <v>0</v>
      </c>
      <c r="Q11" s="114">
        <f t="shared" si="3"/>
        <v>6</v>
      </c>
      <c r="R11" s="115"/>
    </row>
  </sheetData>
  <phoneticPr fontId="1"/>
  <pageMargins left="0.75" right="0.75" top="1" bottom="1" header="0.51200000000000001" footer="0.51200000000000001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5</vt:i4>
      </vt:variant>
    </vt:vector>
  </HeadingPairs>
  <TitlesOfParts>
    <vt:vector size="13" baseType="lpstr">
      <vt:lpstr>チーム一覧</vt:lpstr>
      <vt:lpstr>競技順番</vt:lpstr>
      <vt:lpstr>新記録用紙NL</vt:lpstr>
      <vt:lpstr>新記録用紙WL</vt:lpstr>
      <vt:lpstr>車検一覧</vt:lpstr>
      <vt:lpstr>車検シート</vt:lpstr>
      <vt:lpstr>競技記録A</vt:lpstr>
      <vt:lpstr>集計</vt:lpstr>
      <vt:lpstr>チーム一覧!Print_Area</vt:lpstr>
      <vt:lpstr>競技順番!Print_Area</vt:lpstr>
      <vt:lpstr>集計!Print_Area</vt:lpstr>
      <vt:lpstr>新記録用紙NL!Print_Area</vt:lpstr>
      <vt:lpstr>新記録用紙WL!Print_Area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physico</dc:creator>
  <cp:lastModifiedBy>yamaguchi</cp:lastModifiedBy>
  <cp:lastPrinted>2018-10-20T06:50:07Z</cp:lastPrinted>
  <dcterms:created xsi:type="dcterms:W3CDTF">1997-01-08T22:48:59Z</dcterms:created>
  <dcterms:modified xsi:type="dcterms:W3CDTF">2018-11-18T08:45:01Z</dcterms:modified>
</cp:coreProperties>
</file>